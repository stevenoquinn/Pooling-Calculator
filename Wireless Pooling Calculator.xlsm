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eve\Desktop\"/>
    </mc:Choice>
  </mc:AlternateContent>
  <bookViews>
    <workbookView xWindow="0" yWindow="0" windowWidth="19200" windowHeight="7310"/>
  </bookViews>
  <sheets>
    <sheet name="Wireless Pool Calculator" sheetId="1" r:id="rId1"/>
    <sheet name="Instructions" sheetId="2" state="hidden" r:id="rId2"/>
  </sheets>
  <definedNames>
    <definedName name="_xlnm._FilterDatabase" localSheetId="0" hidden="1">'Wireless Pool Calculator'!$A$2:$D$2</definedName>
    <definedName name="line">#REF!</definedName>
    <definedName name="Line_Count">#REF!</definedName>
    <definedName name="MoveListBut">"Rounded Rectangle 1"</definedName>
    <definedName name="solver_adj" localSheetId="0" hidden="1">'Wireless Pool Calculator'!$G$5:$G$11</definedName>
    <definedName name="solver_cvg" localSheetId="0" hidden="1">0.000001</definedName>
    <definedName name="solver_drv" localSheetId="0" hidden="1">1</definedName>
    <definedName name="solver_eng" localSheetId="0" hidden="1">1</definedName>
    <definedName name="solver_est" localSheetId="0" hidden="1">1</definedName>
    <definedName name="solver_itr" localSheetId="0" hidden="1">50</definedName>
    <definedName name="solver_lhs0" localSheetId="0" hidden="1">'Wireless Pool Calculator'!#REF!</definedName>
    <definedName name="solver_lhs1" localSheetId="0" hidden="1">'Wireless Pool Calculator'!$G$5:$G$11</definedName>
    <definedName name="solver_lhs10" localSheetId="0" hidden="1">'Wireless Pool Calculator'!#REF!</definedName>
    <definedName name="solver_lhs11" localSheetId="0" hidden="1">'Wireless Pool Calculator'!$G$20</definedName>
    <definedName name="solver_lhs12" localSheetId="0" hidden="1">'Wireless Pool Calculator'!$G$22</definedName>
    <definedName name="solver_lhs13" localSheetId="0" hidden="1">'Wireless Pool Calculator'!$G$24</definedName>
    <definedName name="solver_lhs14" localSheetId="0" hidden="1">'Wireless Pool Calculator'!$G$23</definedName>
    <definedName name="solver_lhs15" localSheetId="0" hidden="1">'Wireless Pool Calculator'!$G$26</definedName>
    <definedName name="solver_lhs16" localSheetId="0" hidden="1">'Wireless Pool Calculator'!$G$25</definedName>
    <definedName name="solver_lhs17" localSheetId="0" hidden="1">'Wireless Pool Calculator'!#REF!</definedName>
    <definedName name="solver_lhs18" localSheetId="0" hidden="1">'Wireless Pool Calculator'!#REF!</definedName>
    <definedName name="solver_lhs19" localSheetId="0" hidden="1">'Wireless Pool Calculator'!#REF!</definedName>
    <definedName name="solver_lhs2" localSheetId="0" hidden="1">'Wireless Pool Calculator'!$K$5</definedName>
    <definedName name="solver_lhs20" localSheetId="0" hidden="1">'Wireless Pool Calculator'!#REF!</definedName>
    <definedName name="solver_lhs21" localSheetId="0" hidden="1">'Wireless Pool Calculator'!#REF!</definedName>
    <definedName name="solver_lhs22" localSheetId="0" hidden="1">'Wireless Pool Calculator'!#REF!</definedName>
    <definedName name="solver_lhs23" localSheetId="0" hidden="1">'Wireless Pool Calculator'!$G$5</definedName>
    <definedName name="solver_lhs24" localSheetId="0" hidden="1">'Wireless Pool Calculator'!$G$7</definedName>
    <definedName name="solver_lhs25" localSheetId="0" hidden="1">'Wireless Pool Calculator'!$G$6</definedName>
    <definedName name="solver_lhs26" localSheetId="0" hidden="1">'Wireless Pool Calculator'!$G$8</definedName>
    <definedName name="solver_lhs27" localSheetId="0" hidden="1">'Wireless Pool Calculator'!$H$4</definedName>
    <definedName name="solver_lhs28" localSheetId="0" hidden="1">'Wireless Pool Calculator'!$K$5</definedName>
    <definedName name="solver_lhs29" localSheetId="0" hidden="1">'Wireless Pool Calculator'!$G$9</definedName>
    <definedName name="solver_lhs3" localSheetId="0" hidden="1">'Wireless Pool Calculator'!$H$4</definedName>
    <definedName name="solver_lhs30" localSheetId="0" hidden="1">'Wireless Pool Calculator'!#REF!</definedName>
    <definedName name="solver_lhs31" localSheetId="0" hidden="1">'Wireless Pool Calculator'!$G$10</definedName>
    <definedName name="solver_lhs32" localSheetId="0" hidden="1">'Wireless Pool Calculator'!#REF!</definedName>
    <definedName name="solver_lhs33" localSheetId="0" hidden="1">'Wireless Pool Calculator'!#REF!</definedName>
    <definedName name="solver_lhs34" localSheetId="0" hidden="1">'Wireless Pool Calculator'!$G$13</definedName>
    <definedName name="solver_lhs35" localSheetId="0" hidden="1">'Wireless Pool Calculator'!$G$24</definedName>
    <definedName name="solver_lhs36" localSheetId="0" hidden="1">'Wireless Pool Calculator'!#REF!</definedName>
    <definedName name="solver_lhs37" localSheetId="0" hidden="1">'Wireless Pool Calculator'!$G$16</definedName>
    <definedName name="solver_lhs38" localSheetId="0" hidden="1">'Wireless Pool Calculator'!$G$16</definedName>
    <definedName name="solver_lhs39" localSheetId="0" hidden="1">'Wireless Pool Calculator'!$G$16</definedName>
    <definedName name="solver_lhs4" localSheetId="0" hidden="1">'Wireless Pool Calculator'!$K$5</definedName>
    <definedName name="solver_lhs40" localSheetId="0" hidden="1">'Wireless Pool Calculator'!$G$16</definedName>
    <definedName name="solver_lhs41" localSheetId="0" hidden="1">'Wireless Pool Calculator'!#REF!</definedName>
    <definedName name="solver_lhs42" localSheetId="0" hidden="1">'Wireless Pool Calculator'!#REF!</definedName>
    <definedName name="solver_lhs43" localSheetId="0" hidden="1">'Wireless Pool Calculator'!#REF!</definedName>
    <definedName name="solver_lhs44" localSheetId="0" hidden="1">'Wireless Pool Calculator'!#REF!</definedName>
    <definedName name="solver_lhs45" localSheetId="0" hidden="1">'Wireless Pool Calculator'!#REF!</definedName>
    <definedName name="solver_lhs5" localSheetId="0" hidden="1">'Wireless Pool Calculator'!#REF!</definedName>
    <definedName name="solver_lhs6" localSheetId="0" hidden="1">'Wireless Pool Calculator'!$H$4</definedName>
    <definedName name="solver_lhs7" localSheetId="0" hidden="1">'Wireless Pool Calculator'!#REF!</definedName>
    <definedName name="solver_lhs8" localSheetId="0" hidden="1">'Wireless Pool Calculator'!#REF!</definedName>
    <definedName name="solver_lhs9" localSheetId="0" hidden="1">'Wireless Pool Calculator'!$K$5</definedName>
    <definedName name="solver_lin" localSheetId="0" hidden="1">2</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3</definedName>
    <definedName name="solver_nwt" localSheetId="0" hidden="1">1</definedName>
    <definedName name="solver_opt" localSheetId="0" hidden="1">'Wireless Pool Calculator'!$K$12</definedName>
    <definedName name="solver_pre" localSheetId="0" hidden="1">0.0000000001</definedName>
    <definedName name="solver_rbv" localSheetId="0" hidden="1">1</definedName>
    <definedName name="solver_rel0" localSheetId="0" hidden="1">2</definedName>
    <definedName name="solver_rel1" localSheetId="0" hidden="1">4</definedName>
    <definedName name="solver_rel10" localSheetId="0" hidden="1">2</definedName>
    <definedName name="solver_rel11" localSheetId="0" hidden="1">4</definedName>
    <definedName name="solver_rel12" localSheetId="0" hidden="1">4</definedName>
    <definedName name="solver_rel13" localSheetId="0" hidden="1">4</definedName>
    <definedName name="solver_rel14" localSheetId="0" hidden="1">4</definedName>
    <definedName name="solver_rel15" localSheetId="0" hidden="1">4</definedName>
    <definedName name="solver_rel16" localSheetId="0" hidden="1">4</definedName>
    <definedName name="solver_rel17" localSheetId="0" hidden="1">4</definedName>
    <definedName name="solver_rel18" localSheetId="0" hidden="1">1</definedName>
    <definedName name="solver_rel19" localSheetId="0" hidden="1">1</definedName>
    <definedName name="solver_rel2" localSheetId="0" hidden="1">2</definedName>
    <definedName name="solver_rel20" localSheetId="0" hidden="1">4</definedName>
    <definedName name="solver_rel21" localSheetId="0" hidden="1">4</definedName>
    <definedName name="solver_rel22" localSheetId="0" hidden="1">4</definedName>
    <definedName name="solver_rel23" localSheetId="0" hidden="1">4</definedName>
    <definedName name="solver_rel24" localSheetId="0" hidden="1">4</definedName>
    <definedName name="solver_rel25" localSheetId="0" hidden="1">4</definedName>
    <definedName name="solver_rel26" localSheetId="0" hidden="1">4</definedName>
    <definedName name="solver_rel27" localSheetId="0" hidden="1">3</definedName>
    <definedName name="solver_rel28" localSheetId="0" hidden="1">2</definedName>
    <definedName name="solver_rel29" localSheetId="0" hidden="1">4</definedName>
    <definedName name="solver_rel3" localSheetId="0" hidden="1">3</definedName>
    <definedName name="solver_rel30" localSheetId="0" hidden="1">2</definedName>
    <definedName name="solver_rel31" localSheetId="0" hidden="1">4</definedName>
    <definedName name="solver_rel32" localSheetId="0" hidden="1">4</definedName>
    <definedName name="solver_rel33" localSheetId="0" hidden="1">2</definedName>
    <definedName name="solver_rel34" localSheetId="0" hidden="1">4</definedName>
    <definedName name="solver_rel35" localSheetId="0" hidden="1">4</definedName>
    <definedName name="solver_rel36" localSheetId="0" hidden="1">4</definedName>
    <definedName name="solver_rel37" localSheetId="0" hidden="1">4</definedName>
    <definedName name="solver_rel38" localSheetId="0" hidden="1">4</definedName>
    <definedName name="solver_rel39" localSheetId="0" hidden="1">4</definedName>
    <definedName name="solver_rel4" localSheetId="0" hidden="1">2</definedName>
    <definedName name="solver_rel40" localSheetId="0" hidden="1">4</definedName>
    <definedName name="solver_rel41" localSheetId="0" hidden="1">2</definedName>
    <definedName name="solver_rel42" localSheetId="0" hidden="1">2</definedName>
    <definedName name="solver_rel43" localSheetId="0" hidden="1">2</definedName>
    <definedName name="solver_rel44" localSheetId="0" hidden="1">2</definedName>
    <definedName name="solver_rel45" localSheetId="0" hidden="1">2</definedName>
    <definedName name="solver_rel5" localSheetId="0" hidden="1">2</definedName>
    <definedName name="solver_rel6" localSheetId="0" hidden="1">3</definedName>
    <definedName name="solver_rel7" localSheetId="0" hidden="1">1</definedName>
    <definedName name="solver_rel8" localSheetId="0" hidden="1">1</definedName>
    <definedName name="solver_rel9" localSheetId="0" hidden="1">2</definedName>
    <definedName name="solver_rhs0" localSheetId="0" hidden="1">SUM('Wireless Pool Calculator'!$G$20:$G$26,'Wireless Pool Calculator'!#REF!)</definedName>
    <definedName name="solver_rhs1" localSheetId="0" hidden="1">integer</definedName>
    <definedName name="solver_rhs10" localSheetId="0" hidden="1">SUM('Wireless Pool Calculator'!$G$12:$G$18,'Wireless Pool Calculator'!#REF!)</definedName>
    <definedName name="solver_rhs11" localSheetId="0" hidden="1">integer</definedName>
    <definedName name="solver_rhs12" localSheetId="0" hidden="1">integer</definedName>
    <definedName name="solver_rhs13" localSheetId="0" hidden="1">integer</definedName>
    <definedName name="solver_rhs14" localSheetId="0" hidden="1">integer</definedName>
    <definedName name="solver_rhs15" localSheetId="0" hidden="1">integer</definedName>
    <definedName name="solver_rhs16" localSheetId="0" hidden="1">integer</definedName>
    <definedName name="solver_rhs17" localSheetId="0" hidden="1">integer</definedName>
    <definedName name="solver_rhs18" localSheetId="0" hidden="1">SUM('Wireless Pool Calculator'!$G$5:$G$26)*'Wireless Pool Calculator'!#REF!</definedName>
    <definedName name="solver_rhs19" localSheetId="0" hidden="1">SUM('Wireless Pool Calculator'!$G$5:$G$26)*'Wireless Pool Calculator'!#REF!</definedName>
    <definedName name="solver_rhs2" localSheetId="0" hidden="1">SUM('Wireless Pool Calculator'!$G$5:$G$11)</definedName>
    <definedName name="solver_rhs20" localSheetId="0" hidden="1">integer</definedName>
    <definedName name="solver_rhs21" localSheetId="0" hidden="1">integer</definedName>
    <definedName name="solver_rhs22" localSheetId="0" hidden="1">integer</definedName>
    <definedName name="solver_rhs23" localSheetId="0" hidden="1">integer</definedName>
    <definedName name="solver_rhs24" localSheetId="0" hidden="1">integer</definedName>
    <definedName name="solver_rhs25" localSheetId="0" hidden="1">integer</definedName>
    <definedName name="solver_rhs26" localSheetId="0" hidden="1">integer</definedName>
    <definedName name="solver_rhs27" localSheetId="0" hidden="1">'Wireless Pool Calculator'!$K$8</definedName>
    <definedName name="solver_rhs28" localSheetId="0" hidden="1">SUM('Wireless Pool Calculator'!$G$5:$G$26,'Wireless Pool Calculator'!#REF!)</definedName>
    <definedName name="solver_rhs29" localSheetId="0" hidden="1">integer</definedName>
    <definedName name="solver_rhs3" localSheetId="0" hidden="1">'Wireless Pool Calculator'!$K$8</definedName>
    <definedName name="solver_rhs30" localSheetId="0" hidden="1">SUM('Wireless Pool Calculator'!$G$13:$G$19,'Wireless Pool Calculator'!#REF!)</definedName>
    <definedName name="solver_rhs31" localSheetId="0" hidden="1">integer</definedName>
    <definedName name="solver_rhs32" localSheetId="0" hidden="1">integer</definedName>
    <definedName name="solver_rhs33" localSheetId="0" hidden="1">SUM('Wireless Pool Calculator'!$G$20:$G$26, 'Wireless Pool Calculator'!#REF!)</definedName>
    <definedName name="solver_rhs34" localSheetId="0" hidden="1">integer</definedName>
    <definedName name="solver_rhs35" localSheetId="0" hidden="1">integer</definedName>
    <definedName name="solver_rhs36" localSheetId="0" hidden="1">integer</definedName>
    <definedName name="solver_rhs37" localSheetId="0" hidden="1">integer</definedName>
    <definedName name="solver_rhs38" localSheetId="0" hidden="1">integer</definedName>
    <definedName name="solver_rhs39" localSheetId="0" hidden="1">integer</definedName>
    <definedName name="solver_rhs4" localSheetId="0" hidden="1">SUM('Wireless Pool Calculator'!$G$11:$G$17)</definedName>
    <definedName name="solver_rhs40" localSheetId="0" hidden="1">integer</definedName>
    <definedName name="solver_rhs41" localSheetId="0" hidden="1">SUM('Wireless Pool Calculator'!$G$20:$G$26,'Wireless Pool Calculator'!#REF!)</definedName>
    <definedName name="solver_rhs42" localSheetId="0" hidden="1">SUM('Wireless Pool Calculator'!$G$20:$G$26, 'Wireless Pool Calculator'!#REF!)</definedName>
    <definedName name="solver_rhs43" localSheetId="0" hidden="1">SUM('Wireless Pool Calculator'!$G$20:$G$26, 'Wireless Pool Calculator'!#REF!)</definedName>
    <definedName name="solver_rhs44" localSheetId="0" hidden="1">SUM('Wireless Pool Calculator'!$G$20:$G$26, 'Wireless Pool Calculator'!#REF!)</definedName>
    <definedName name="solver_rhs45" localSheetId="0" hidden="1">SUM('Wireless Pool Calculator'!$G$20:$G$26, 'Wireless Pool Calculator'!#REF!)</definedName>
    <definedName name="solver_rhs5" localSheetId="0" hidden="1">SUM('Wireless Pool Calculator'!#REF!,'Wireless Pool Calculator'!#REF!)</definedName>
    <definedName name="solver_rhs6" localSheetId="0" hidden="1">'Wireless Pool Calculator'!$K$8</definedName>
    <definedName name="solver_rhs7" localSheetId="0" hidden="1">SUM('Wireless Pool Calculator'!$G$5:$G$18*'Wireless Pool Calculator'!#REF!)</definedName>
    <definedName name="solver_rhs8" localSheetId="0" hidden="1">SUM('Wireless Pool Calculator'!$G$5:$G$18*'Wireless Pool Calculator'!#REF!)</definedName>
    <definedName name="solver_rhs9" localSheetId="0" hidden="1">SUM('Wireless Pool Calculator'!$G$5:$G$18,'Wireless Pool Calculator'!#REF!,'Wireless Pool Calculator'!#REF!)</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5</definedName>
    <definedName name="solver_tol" localSheetId="0" hidden="1">0</definedName>
    <definedName name="solver_typ" localSheetId="0" hidden="1">2</definedName>
    <definedName name="solver_val" localSheetId="0" hidden="1">0</definedName>
    <definedName name="solver_ver" localSheetId="0" hidden="1">3</definedName>
    <definedName name="vertex42_copyright" localSheetId="0" hidden="1">"© 2009-2017 Vertex42 LLC"</definedName>
    <definedName name="vertex42_copyright" hidden="1">"© 2017 Vertex42 LLC"</definedName>
    <definedName name="vertex42_id" localSheetId="0" hidden="1">"annuity-calculator.xlsx"</definedName>
    <definedName name="vertex42_id" hidden="1">"investment-tracker.xlsx"</definedName>
    <definedName name="vertex42_title" localSheetId="0" hidden="1">"Annuity Calculator"</definedName>
    <definedName name="vertex42_title" hidden="1">"Investment Tracker"</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 i="1" l="1"/>
  <c r="G4" i="1"/>
  <c r="N11" i="1"/>
  <c r="K11" i="1" l="1"/>
  <c r="K12" i="1" s="1"/>
  <c r="H26" i="1"/>
  <c r="H25" i="1"/>
  <c r="H24" i="1"/>
  <c r="H23" i="1"/>
  <c r="H22" i="1"/>
  <c r="H21" i="1"/>
  <c r="H20" i="1"/>
  <c r="N12" i="1"/>
  <c r="N9" i="1"/>
  <c r="K9" i="1"/>
  <c r="H11" i="1"/>
  <c r="N8" i="1"/>
  <c r="K8" i="1"/>
  <c r="H10" i="1"/>
  <c r="H9" i="1"/>
  <c r="H8" i="1"/>
  <c r="H7" i="1"/>
  <c r="H6" i="1"/>
  <c r="H5" i="1"/>
  <c r="H19" i="1" l="1"/>
  <c r="N13" i="1" s="1"/>
  <c r="H4" i="1"/>
  <c r="K13" i="1" s="1"/>
</calcChain>
</file>

<file path=xl/sharedStrings.xml><?xml version="1.0" encoding="utf-8"?>
<sst xmlns="http://schemas.openxmlformats.org/spreadsheetml/2006/main" count="33" uniqueCount="27">
  <si>
    <t>Pooled / Shared Environment</t>
  </si>
  <si>
    <t>Net
MRC</t>
  </si>
  <si>
    <t>In Plan
Allowance</t>
  </si>
  <si>
    <t>No. of Plans
Recommended</t>
  </si>
  <si>
    <t>Recommended Allowance</t>
  </si>
  <si>
    <t>Typical Pooled Environment (Exc. T-Mobile)</t>
  </si>
  <si>
    <t>Pooled Environment - Data Only (MiFi)</t>
  </si>
  <si>
    <t>Amt. of Pooled Services - Voice or V&amp;D</t>
  </si>
  <si>
    <t>Amt. of Pooled Services - Data</t>
  </si>
  <si>
    <t>Total Pool Usage (1 pool - voice or data)</t>
  </si>
  <si>
    <t>Total Pool Usage (Data or Additional)</t>
  </si>
  <si>
    <t>Recommended Usage Buffer %</t>
  </si>
  <si>
    <t>Usage w/ Buffer</t>
  </si>
  <si>
    <t>Average Usage Per Line</t>
  </si>
  <si>
    <t>Main Subscription Total</t>
  </si>
  <si>
    <t>Total Cost</t>
  </si>
  <si>
    <t>Estimated Buffer %</t>
  </si>
  <si>
    <t>Primary Data Pool Subscription</t>
  </si>
  <si>
    <t>Voice or V&amp;D Pool Subscription</t>
  </si>
  <si>
    <t>Plan Code (optional)</t>
  </si>
  <si>
    <t>Provide your recommended pooling plan options along with MRC and in Plan alllowance as seen in below example. The example shows a bundled plan with Data Pool. The Data pool is shared between Mifi and Tablet devices seen at different price points. The secondary calculator allows the option to capture both Plan types for recommendations. Note: Plan Cost and allowance should be listed as least to greatest.</t>
  </si>
  <si>
    <t>Add Pool's usage beneath line count Note: Can be Minutes or GB - the below example displays GB to be pooled.</t>
  </si>
  <si>
    <t>Select the Calculate button to retrieve the optimized plan allowance to usage scenario.</t>
  </si>
  <si>
    <t>Follow the below steps to identify your pool environment's optimal allowance to usage ratio.</t>
  </si>
  <si>
    <t>Enter Pool's line count.</t>
  </si>
  <si>
    <t>Choose recommended buffer to prevent overage where high usage anomalies occur.</t>
  </si>
  <si>
    <t>Note: In some instances the Solver engine may need more time to calculate, simply select Stop to retrieve the closest available solution.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</si>
</sst>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7" formatCode="&quot;$&quot;#,##0.00_);\(&quot;$&quot;#,##0.0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0.0"/>
  </numFmts>
  <fonts count="12">
    <font>
      <sz val="11"/>
      <color theme="1"/>
      <name val="Calibri"/>
      <family val="2"/>
      <scheme val="minor"/>
    </font>
    <font>
      <sz val="10"/>
      <color indexed="8"/>
      <name val="Arial"/>
      <family val="2"/>
    </font>
    <font>
      <b/>
      <sz val="10"/>
      <color theme="0"/>
      <name val="Arial"/>
      <family val="2"/>
    </font>
    <font>
      <b/>
      <sz val="14"/>
      <color theme="3"/>
      <name val="Calibri"/>
      <family val="2"/>
      <scheme val="minor"/>
    </font>
    <font>
      <b/>
      <sz val="10"/>
      <name val="Arial"/>
      <family val="2"/>
    </font>
    <font>
      <sz val="10"/>
      <name val="Arial"/>
      <family val="2"/>
    </font>
    <font>
      <b/>
      <i/>
      <sz val="10"/>
      <color theme="0"/>
      <name val="Arial"/>
      <family val="2"/>
    </font>
    <font>
      <sz val="10"/>
      <color theme="3"/>
      <name val="Arial"/>
      <family val="2"/>
    </font>
    <font>
      <b/>
      <sz val="10"/>
      <color theme="3"/>
      <name val="Arial"/>
      <family val="2"/>
    </font>
    <font>
      <sz val="10"/>
      <color theme="0"/>
      <name val="Arial"/>
      <family val="2"/>
    </font>
    <font>
      <sz val="12"/>
      <color theme="1"/>
      <name val="Calibri"/>
      <family val="2"/>
      <scheme val="minor"/>
    </font>
    <font>
      <sz val="11"/>
      <color theme="0"/>
      <name val="Calibri"/>
      <family val="2"/>
      <scheme val="minor"/>
    </font>
  </fonts>
  <fills count="9">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3"/>
        <bgColor auto="1"/>
      </patternFill>
    </fill>
    <fill>
      <patternFill patternType="solid">
        <fgColor theme="3" tint="-0.249977111117893"/>
        <bgColor indexed="64"/>
      </patternFill>
    </fill>
    <fill>
      <patternFill patternType="solid">
        <fgColor theme="3" tint="0.79998168889431442"/>
        <bgColor indexed="64"/>
      </patternFill>
    </fill>
  </fills>
  <borders count="54">
    <border>
      <left/>
      <right/>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top style="medium">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right style="double">
        <color indexed="64"/>
      </right>
      <top style="medium">
        <color indexed="64"/>
      </top>
      <bottom style="double">
        <color indexed="64"/>
      </bottom>
      <diagonal/>
    </border>
    <border>
      <left/>
      <right style="double">
        <color indexed="64"/>
      </right>
      <top style="medium">
        <color indexed="64"/>
      </top>
      <bottom style="thin">
        <color indexed="64"/>
      </bottom>
      <diagonal/>
    </border>
    <border>
      <left/>
      <right style="double">
        <color indexed="64"/>
      </right>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right style="double">
        <color indexed="64"/>
      </right>
      <top style="medium">
        <color indexed="64"/>
      </top>
      <bottom/>
      <diagonal/>
    </border>
    <border>
      <left/>
      <right style="double">
        <color indexed="64"/>
      </right>
      <top/>
      <bottom/>
      <diagonal/>
    </border>
    <border>
      <left style="medium">
        <color indexed="64"/>
      </left>
      <right style="double">
        <color indexed="64"/>
      </right>
      <top/>
      <bottom style="double">
        <color indexed="64"/>
      </bottom>
      <diagonal/>
    </border>
    <border>
      <left/>
      <right/>
      <top style="double">
        <color indexed="64"/>
      </top>
      <bottom/>
      <diagonal/>
    </border>
    <border>
      <left/>
      <right style="double">
        <color indexed="64"/>
      </right>
      <top style="medium">
        <color indexed="64"/>
      </top>
      <bottom style="medium">
        <color indexed="64"/>
      </bottom>
      <diagonal/>
    </border>
    <border>
      <left style="thin">
        <color indexed="64"/>
      </left>
      <right style="double">
        <color indexed="64"/>
      </right>
      <top style="medium">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style="thin">
        <color indexed="64"/>
      </top>
      <bottom style="medium">
        <color indexed="64"/>
      </bottom>
      <diagonal/>
    </border>
    <border>
      <left style="thin">
        <color indexed="64"/>
      </left>
      <right style="double">
        <color indexed="64"/>
      </right>
      <top/>
      <bottom/>
      <diagonal/>
    </border>
    <border>
      <left style="medium">
        <color indexed="64"/>
      </left>
      <right/>
      <top style="medium">
        <color indexed="64"/>
      </top>
      <bottom style="double">
        <color indexed="64"/>
      </bottom>
      <diagonal/>
    </border>
    <border>
      <left style="medium">
        <color indexed="64"/>
      </left>
      <right style="thin">
        <color indexed="64"/>
      </right>
      <top/>
      <bottom style="double">
        <color indexed="64"/>
      </bottom>
      <diagonal/>
    </border>
    <border>
      <left/>
      <right style="double">
        <color indexed="64"/>
      </right>
      <top/>
      <bottom style="thin">
        <color indexed="64"/>
      </bottom>
      <diagonal/>
    </border>
    <border>
      <left/>
      <right/>
      <top/>
      <bottom style="thin">
        <color indexed="64"/>
      </bottom>
      <diagonal/>
    </border>
    <border>
      <left/>
      <right style="double">
        <color indexed="64"/>
      </right>
      <top/>
      <bottom style="double">
        <color indexed="64"/>
      </bottom>
      <diagonal/>
    </border>
    <border>
      <left/>
      <right/>
      <top style="double">
        <color indexed="64"/>
      </top>
      <bottom style="thin">
        <color indexed="64"/>
      </bottom>
      <diagonal/>
    </border>
    <border>
      <left style="double">
        <color indexed="64"/>
      </left>
      <right style="thin">
        <color indexed="64"/>
      </right>
      <top/>
      <bottom/>
      <diagonal/>
    </border>
    <border>
      <left/>
      <right style="double">
        <color indexed="64"/>
      </right>
      <top style="double">
        <color indexed="64"/>
      </top>
      <bottom/>
      <diagonal/>
    </border>
    <border>
      <left style="double">
        <color indexed="64"/>
      </left>
      <right/>
      <top/>
      <bottom/>
      <diagonal/>
    </border>
    <border>
      <left style="double">
        <color indexed="64"/>
      </left>
      <right/>
      <top style="double">
        <color indexed="64"/>
      </top>
      <bottom/>
      <diagonal/>
    </border>
    <border>
      <left style="double">
        <color indexed="64"/>
      </left>
      <right/>
      <top/>
      <bottom style="double">
        <color indexed="64"/>
      </bottom>
      <diagonal/>
    </border>
    <border>
      <left/>
      <right/>
      <top/>
      <bottom style="double">
        <color indexed="64"/>
      </bottom>
      <diagonal/>
    </border>
  </borders>
  <cellStyleXfs count="5">
    <xf numFmtId="0" fontId="0" fillId="0" borderId="0"/>
    <xf numFmtId="0" fontId="1" fillId="0" borderId="0">
      <alignment vertical="top"/>
    </xf>
    <xf numFmtId="44" fontId="1" fillId="0" borderId="0" applyFont="0" applyFill="0" applyBorder="0" applyAlignment="0" applyProtection="0">
      <alignment vertical="top"/>
    </xf>
    <xf numFmtId="43" fontId="1" fillId="0" borderId="0" applyFont="0" applyFill="0" applyBorder="0" applyAlignment="0" applyProtection="0">
      <alignment vertical="top"/>
    </xf>
    <xf numFmtId="9" fontId="1" fillId="0" borderId="0" applyFont="0" applyFill="0" applyBorder="0" applyAlignment="0" applyProtection="0"/>
  </cellStyleXfs>
  <cellXfs count="153">
    <xf numFmtId="0" fontId="0" fillId="0" borderId="0" xfId="0"/>
    <xf numFmtId="0" fontId="1" fillId="0" borderId="0" xfId="1" applyFont="1" applyBorder="1">
      <alignment vertical="top"/>
    </xf>
    <xf numFmtId="0" fontId="1" fillId="0" borderId="0" xfId="1" applyFont="1">
      <alignment vertical="top"/>
    </xf>
    <xf numFmtId="0" fontId="1" fillId="0" borderId="1" xfId="1" applyFont="1" applyBorder="1">
      <alignment vertical="top"/>
    </xf>
    <xf numFmtId="0" fontId="4" fillId="3" borderId="0" xfId="1" applyNumberFormat="1" applyFont="1" applyFill="1" applyBorder="1" applyAlignment="1" applyProtection="1">
      <alignment horizontal="center" vertical="center" wrapText="1"/>
    </xf>
    <xf numFmtId="0" fontId="5" fillId="0" borderId="0" xfId="1" applyFont="1">
      <alignment vertical="top"/>
    </xf>
    <xf numFmtId="0" fontId="1" fillId="3" borderId="0" xfId="1" applyFont="1" applyFill="1" applyAlignment="1">
      <alignment wrapText="1"/>
    </xf>
    <xf numFmtId="1" fontId="2" fillId="3" borderId="0" xfId="2" applyNumberFormat="1" applyFont="1" applyFill="1" applyBorder="1" applyAlignment="1" applyProtection="1">
      <alignment horizontal="center" vertical="center" wrapText="1"/>
    </xf>
    <xf numFmtId="0" fontId="7" fillId="4" borderId="7" xfId="1" applyNumberFormat="1" applyFont="1" applyFill="1" applyBorder="1" applyAlignment="1" applyProtection="1">
      <alignment horizontal="left" vertical="center"/>
      <protection locked="0"/>
    </xf>
    <xf numFmtId="44" fontId="7" fillId="3" borderId="8" xfId="2" applyNumberFormat="1" applyFont="1" applyFill="1" applyBorder="1" applyAlignment="1" applyProtection="1"/>
    <xf numFmtId="3" fontId="7" fillId="4" borderId="9" xfId="2" applyNumberFormat="1" applyFont="1" applyFill="1" applyBorder="1" applyAlignment="1" applyProtection="1">
      <alignment horizontal="center"/>
      <protection locked="0"/>
    </xf>
    <xf numFmtId="3" fontId="7" fillId="3" borderId="9" xfId="2" applyNumberFormat="1" applyFont="1" applyFill="1" applyBorder="1" applyAlignment="1" applyProtection="1">
      <alignment horizontal="center"/>
      <protection locked="0"/>
    </xf>
    <xf numFmtId="0" fontId="8" fillId="0" borderId="10" xfId="1" applyFont="1" applyBorder="1" applyAlignment="1">
      <alignment horizontal="left" vertical="center" wrapText="1"/>
    </xf>
    <xf numFmtId="0" fontId="7" fillId="4" borderId="9" xfId="1" applyNumberFormat="1" applyFont="1" applyFill="1" applyBorder="1" applyAlignment="1" applyProtection="1">
      <alignment horizontal="left" vertical="center"/>
      <protection locked="0"/>
    </xf>
    <xf numFmtId="44" fontId="7" fillId="3" borderId="12" xfId="2" applyNumberFormat="1" applyFont="1" applyFill="1" applyBorder="1" applyAlignment="1" applyProtection="1"/>
    <xf numFmtId="0" fontId="8" fillId="0" borderId="13" xfId="1" applyFont="1" applyBorder="1" applyAlignment="1">
      <alignment horizontal="left" vertical="center" wrapText="1"/>
    </xf>
    <xf numFmtId="44" fontId="7" fillId="3" borderId="9" xfId="2" applyNumberFormat="1" applyFont="1" applyFill="1" applyBorder="1" applyAlignment="1" applyProtection="1"/>
    <xf numFmtId="0" fontId="8" fillId="0" borderId="14" xfId="1" applyFont="1" applyBorder="1" applyAlignment="1">
      <alignment horizontal="left" vertical="center" wrapText="1"/>
    </xf>
    <xf numFmtId="1" fontId="1" fillId="0" borderId="0" xfId="1" applyNumberFormat="1" applyFont="1">
      <alignment vertical="top"/>
    </xf>
    <xf numFmtId="0" fontId="7" fillId="4" borderId="15" xfId="1" applyNumberFormat="1" applyFont="1" applyFill="1" applyBorder="1" applyAlignment="1" applyProtection="1">
      <alignment horizontal="left" vertical="center"/>
      <protection locked="0"/>
    </xf>
    <xf numFmtId="3" fontId="7" fillId="4" borderId="15" xfId="2" applyNumberFormat="1" applyFont="1" applyFill="1" applyBorder="1" applyAlignment="1" applyProtection="1">
      <alignment horizontal="center"/>
      <protection locked="0"/>
    </xf>
    <xf numFmtId="3" fontId="7" fillId="3" borderId="2" xfId="2" applyNumberFormat="1" applyFont="1" applyFill="1" applyBorder="1" applyAlignment="1" applyProtection="1">
      <alignment horizontal="center"/>
      <protection locked="0"/>
    </xf>
    <xf numFmtId="0" fontId="8" fillId="0" borderId="16" xfId="1" applyFont="1" applyBorder="1" applyAlignment="1">
      <alignment horizontal="left" vertical="center" wrapText="1"/>
    </xf>
    <xf numFmtId="0" fontId="8" fillId="0" borderId="11" xfId="1" applyFont="1" applyBorder="1" applyAlignment="1">
      <alignment horizontal="left" vertical="center"/>
    </xf>
    <xf numFmtId="0" fontId="1" fillId="3" borderId="0" xfId="1" applyFont="1" applyFill="1">
      <alignment vertical="top"/>
    </xf>
    <xf numFmtId="0" fontId="9" fillId="0" borderId="0" xfId="1" applyFont="1">
      <alignment vertical="top"/>
    </xf>
    <xf numFmtId="1" fontId="1" fillId="3" borderId="0" xfId="1" applyNumberFormat="1" applyFont="1" applyFill="1" applyBorder="1" applyAlignment="1">
      <alignment horizontal="center" vertical="top"/>
    </xf>
    <xf numFmtId="0" fontId="8" fillId="3" borderId="0" xfId="1" applyFont="1" applyFill="1" applyBorder="1" applyAlignment="1">
      <alignment horizontal="center" vertical="center" wrapText="1"/>
    </xf>
    <xf numFmtId="7" fontId="7" fillId="3" borderId="0" xfId="3" applyNumberFormat="1" applyFont="1" applyFill="1" applyBorder="1" applyAlignment="1">
      <alignment horizontal="center" vertical="center"/>
    </xf>
    <xf numFmtId="0" fontId="2" fillId="3" borderId="0" xfId="1" applyNumberFormat="1" applyFont="1" applyFill="1" applyBorder="1" applyAlignment="1" applyProtection="1">
      <alignment horizontal="center" vertical="center" wrapText="1"/>
    </xf>
    <xf numFmtId="0" fontId="7" fillId="2" borderId="3" xfId="1" applyNumberFormat="1" applyFont="1" applyFill="1" applyBorder="1" applyAlignment="1" applyProtection="1">
      <alignment horizontal="left" vertical="center"/>
      <protection locked="0"/>
    </xf>
    <xf numFmtId="0" fontId="7" fillId="4" borderId="19" xfId="1" applyNumberFormat="1" applyFont="1" applyFill="1" applyBorder="1" applyAlignment="1" applyProtection="1">
      <alignment horizontal="left" vertical="center"/>
      <protection locked="0"/>
    </xf>
    <xf numFmtId="164" fontId="7" fillId="4" borderId="9" xfId="2" applyNumberFormat="1" applyFont="1" applyFill="1" applyBorder="1" applyAlignment="1" applyProtection="1">
      <alignment horizontal="center"/>
      <protection locked="0"/>
    </xf>
    <xf numFmtId="0" fontId="7" fillId="0" borderId="0" xfId="1" applyFont="1">
      <alignment vertical="top"/>
    </xf>
    <xf numFmtId="0" fontId="7" fillId="4" borderId="17" xfId="1" applyNumberFormat="1" applyFont="1" applyFill="1" applyBorder="1" applyAlignment="1" applyProtection="1">
      <alignment horizontal="left" vertical="center"/>
      <protection locked="0"/>
    </xf>
    <xf numFmtId="42" fontId="5" fillId="3" borderId="0" xfId="1" applyNumberFormat="1" applyFont="1" applyFill="1" applyAlignment="1" applyProtection="1"/>
    <xf numFmtId="0" fontId="1" fillId="3" borderId="20" xfId="1" applyFont="1" applyFill="1" applyBorder="1">
      <alignment vertical="top"/>
    </xf>
    <xf numFmtId="0" fontId="2" fillId="3" borderId="20" xfId="1" applyFont="1" applyFill="1" applyBorder="1" applyAlignment="1">
      <alignment horizontal="left" vertical="center" indent="2"/>
    </xf>
    <xf numFmtId="0" fontId="2" fillId="0" borderId="0" xfId="1" applyFont="1" applyBorder="1" applyAlignment="1">
      <alignment horizontal="left" vertical="center" indent="9"/>
    </xf>
    <xf numFmtId="0" fontId="3" fillId="3" borderId="20" xfId="0" applyNumberFormat="1" applyFont="1" applyFill="1" applyBorder="1" applyAlignment="1">
      <alignment vertical="center"/>
    </xf>
    <xf numFmtId="0" fontId="1" fillId="0" borderId="0" xfId="1" applyFont="1" applyAlignment="1">
      <alignment vertical="top"/>
    </xf>
    <xf numFmtId="0" fontId="1" fillId="0" borderId="0" xfId="1" applyFont="1" applyBorder="1" applyAlignment="1">
      <alignment vertical="top"/>
    </xf>
    <xf numFmtId="0" fontId="2" fillId="2" borderId="5" xfId="1" applyFont="1" applyFill="1" applyBorder="1" applyAlignment="1">
      <alignment horizontal="center" vertical="center" textRotation="90" wrapText="1"/>
    </xf>
    <xf numFmtId="0" fontId="7" fillId="2" borderId="0" xfId="1" applyNumberFormat="1" applyFont="1" applyFill="1" applyBorder="1" applyAlignment="1" applyProtection="1">
      <alignment horizontal="left" vertical="center"/>
      <protection locked="0"/>
    </xf>
    <xf numFmtId="3" fontId="7" fillId="3" borderId="0" xfId="2" applyNumberFormat="1" applyFont="1" applyFill="1" applyBorder="1" applyAlignment="1" applyProtection="1">
      <alignment horizontal="center"/>
      <protection locked="0"/>
    </xf>
    <xf numFmtId="0" fontId="7" fillId="4" borderId="9" xfId="1" quotePrefix="1" applyNumberFormat="1" applyFont="1" applyFill="1" applyBorder="1" applyAlignment="1" applyProtection="1">
      <alignment horizontal="left" vertical="center"/>
      <protection locked="0"/>
    </xf>
    <xf numFmtId="0" fontId="1" fillId="0" borderId="9" xfId="1" applyFont="1" applyBorder="1">
      <alignment vertical="top"/>
    </xf>
    <xf numFmtId="0" fontId="1" fillId="0" borderId="17" xfId="1" applyFont="1" applyBorder="1">
      <alignment vertical="top"/>
    </xf>
    <xf numFmtId="0" fontId="7" fillId="4" borderId="12" xfId="1" applyNumberFormat="1" applyFont="1" applyFill="1" applyBorder="1" applyAlignment="1" applyProtection="1">
      <alignment horizontal="left" vertical="center"/>
      <protection locked="0"/>
    </xf>
    <xf numFmtId="3" fontId="7" fillId="4" borderId="22" xfId="2" applyNumberFormat="1" applyFont="1" applyFill="1" applyBorder="1" applyAlignment="1" applyProtection="1">
      <alignment horizontal="center"/>
      <protection locked="0"/>
    </xf>
    <xf numFmtId="3" fontId="7" fillId="3" borderId="22" xfId="2" applyNumberFormat="1" applyFont="1" applyFill="1" applyBorder="1" applyAlignment="1" applyProtection="1">
      <alignment horizontal="center"/>
      <protection locked="0"/>
    </xf>
    <xf numFmtId="0" fontId="7" fillId="2" borderId="23" xfId="1" applyNumberFormat="1" applyFont="1" applyFill="1" applyBorder="1" applyAlignment="1" applyProtection="1">
      <alignment horizontal="left" vertical="center"/>
      <protection locked="0"/>
    </xf>
    <xf numFmtId="0" fontId="7" fillId="2" borderId="24" xfId="1" applyNumberFormat="1" applyFont="1" applyFill="1" applyBorder="1" applyAlignment="1" applyProtection="1">
      <alignment horizontal="left" vertical="center"/>
      <protection locked="0"/>
    </xf>
    <xf numFmtId="44" fontId="7" fillId="2" borderId="24" xfId="2" applyNumberFormat="1" applyFont="1" applyFill="1" applyBorder="1" applyAlignment="1" applyProtection="1"/>
    <xf numFmtId="3" fontId="7" fillId="2" borderId="24" xfId="2" applyNumberFormat="1" applyFont="1" applyFill="1" applyBorder="1" applyAlignment="1" applyProtection="1">
      <alignment horizontal="center"/>
      <protection locked="0"/>
    </xf>
    <xf numFmtId="3" fontId="2" fillId="2" borderId="24" xfId="2" applyNumberFormat="1" applyFont="1" applyFill="1" applyBorder="1" applyAlignment="1" applyProtection="1">
      <alignment horizontal="center"/>
    </xf>
    <xf numFmtId="0" fontId="6" fillId="2" borderId="20" xfId="1" applyNumberFormat="1" applyFont="1" applyFill="1" applyBorder="1" applyAlignment="1" applyProtection="1">
      <alignment horizontal="left" vertical="center"/>
    </xf>
    <xf numFmtId="0" fontId="2" fillId="2" borderId="20" xfId="2" applyNumberFormat="1" applyFont="1" applyFill="1" applyBorder="1" applyAlignment="1" applyProtection="1">
      <alignment horizontal="center" vertical="center" wrapText="1"/>
    </xf>
    <xf numFmtId="1" fontId="2" fillId="2" borderId="2" xfId="2" applyNumberFormat="1" applyFont="1" applyFill="1" applyBorder="1" applyAlignment="1" applyProtection="1">
      <alignment horizontal="center" vertical="center" wrapText="1"/>
    </xf>
    <xf numFmtId="0" fontId="2" fillId="2" borderId="18" xfId="1" applyNumberFormat="1" applyFont="1" applyFill="1" applyBorder="1" applyAlignment="1" applyProtection="1">
      <alignment horizontal="center" vertical="center" wrapText="1"/>
    </xf>
    <xf numFmtId="0" fontId="7" fillId="4" borderId="25" xfId="1" applyNumberFormat="1" applyFont="1" applyFill="1" applyBorder="1" applyAlignment="1" applyProtection="1">
      <alignment horizontal="left" vertical="center"/>
      <protection locked="0"/>
    </xf>
    <xf numFmtId="0" fontId="7" fillId="4" borderId="26" xfId="1" applyNumberFormat="1" applyFont="1" applyFill="1" applyBorder="1" applyAlignment="1" applyProtection="1">
      <alignment horizontal="left" vertical="center"/>
      <protection locked="0"/>
    </xf>
    <xf numFmtId="44" fontId="7" fillId="3" borderId="26" xfId="2" applyNumberFormat="1" applyFont="1" applyFill="1" applyBorder="1" applyAlignment="1" applyProtection="1"/>
    <xf numFmtId="3" fontId="7" fillId="4" borderId="26" xfId="2" applyNumberFormat="1" applyFont="1" applyFill="1" applyBorder="1" applyAlignment="1" applyProtection="1">
      <alignment horizontal="center"/>
      <protection locked="0"/>
    </xf>
    <xf numFmtId="3" fontId="7" fillId="3" borderId="26" xfId="2" applyNumberFormat="1" applyFont="1" applyFill="1" applyBorder="1" applyAlignment="1" applyProtection="1">
      <alignment horizontal="center"/>
      <protection locked="0"/>
    </xf>
    <xf numFmtId="0" fontId="2" fillId="2" borderId="28" xfId="1" applyNumberFormat="1" applyFont="1" applyFill="1" applyBorder="1" applyAlignment="1" applyProtection="1">
      <alignment horizontal="center" vertical="center" wrapText="1"/>
    </xf>
    <xf numFmtId="1" fontId="2" fillId="2" borderId="29" xfId="2" applyNumberFormat="1" applyFont="1" applyFill="1" applyBorder="1" applyAlignment="1" applyProtection="1">
      <alignment horizontal="center" vertical="center" wrapText="1"/>
    </xf>
    <xf numFmtId="1" fontId="7" fillId="0" borderId="30" xfId="1" applyNumberFormat="1" applyFont="1" applyBorder="1" applyAlignment="1">
      <alignment horizontal="center" vertical="top"/>
    </xf>
    <xf numFmtId="1" fontId="7" fillId="0" borderId="31" xfId="1" applyNumberFormat="1" applyFont="1" applyBorder="1" applyAlignment="1">
      <alignment horizontal="center" vertical="top"/>
    </xf>
    <xf numFmtId="1" fontId="7" fillId="0" borderId="33" xfId="1" applyNumberFormat="1" applyFont="1" applyBorder="1" applyAlignment="1">
      <alignment horizontal="center" vertical="top"/>
    </xf>
    <xf numFmtId="1" fontId="7" fillId="0" borderId="34" xfId="1" applyNumberFormat="1" applyFont="1" applyBorder="1" applyAlignment="1">
      <alignment horizontal="center" vertical="top"/>
    </xf>
    <xf numFmtId="37" fontId="7" fillId="4" borderId="37" xfId="3" applyNumberFormat="1" applyFont="1" applyFill="1" applyBorder="1" applyAlignment="1">
      <alignment horizontal="center" vertical="center"/>
    </xf>
    <xf numFmtId="3" fontId="7" fillId="4" borderId="38" xfId="1" applyNumberFormat="1" applyFont="1" applyFill="1" applyBorder="1" applyAlignment="1">
      <alignment horizontal="center" vertical="center"/>
    </xf>
    <xf numFmtId="10" fontId="7" fillId="4" borderId="39" xfId="1" applyNumberFormat="1" applyFont="1" applyFill="1" applyBorder="1" applyAlignment="1">
      <alignment horizontal="center" vertical="center"/>
    </xf>
    <xf numFmtId="1" fontId="7" fillId="0" borderId="37" xfId="1" applyNumberFormat="1" applyFont="1" applyFill="1" applyBorder="1" applyAlignment="1">
      <alignment horizontal="center" vertical="center"/>
    </xf>
    <xf numFmtId="2" fontId="7" fillId="0" borderId="40" xfId="1" applyNumberFormat="1" applyFont="1" applyBorder="1" applyAlignment="1">
      <alignment horizontal="center" vertical="center"/>
    </xf>
    <xf numFmtId="38" fontId="7" fillId="0" borderId="41" xfId="1" applyNumberFormat="1" applyFont="1" applyBorder="1" applyAlignment="1">
      <alignment horizontal="center" vertical="center"/>
    </xf>
    <xf numFmtId="8" fontId="7" fillId="4" borderId="37" xfId="1" applyNumberFormat="1" applyFont="1" applyFill="1" applyBorder="1" applyAlignment="1">
      <alignment horizontal="center" vertical="center"/>
    </xf>
    <xf numFmtId="8" fontId="7" fillId="4" borderId="38" xfId="1" applyNumberFormat="1" applyFont="1" applyFill="1" applyBorder="1" applyAlignment="1">
      <alignment horizontal="center" vertical="center"/>
    </xf>
    <xf numFmtId="10" fontId="7" fillId="5" borderId="40" xfId="1" applyNumberFormat="1" applyFont="1" applyFill="1" applyBorder="1" applyAlignment="1">
      <alignment horizontal="center" vertical="center"/>
    </xf>
    <xf numFmtId="0" fontId="5" fillId="0" borderId="0" xfId="1" applyFont="1" applyBorder="1">
      <alignment vertical="top"/>
    </xf>
    <xf numFmtId="0" fontId="7" fillId="2" borderId="3" xfId="2" applyNumberFormat="1" applyFont="1" applyFill="1" applyBorder="1" applyAlignment="1" applyProtection="1"/>
    <xf numFmtId="0" fontId="7" fillId="2" borderId="0" xfId="2" applyNumberFormat="1" applyFont="1" applyFill="1" applyBorder="1" applyAlignment="1" applyProtection="1"/>
    <xf numFmtId="0" fontId="7" fillId="3" borderId="9" xfId="2" applyNumberFormat="1" applyFont="1" applyFill="1" applyBorder="1" applyAlignment="1" applyProtection="1"/>
    <xf numFmtId="0" fontId="7" fillId="3" borderId="12" xfId="2" applyNumberFormat="1" applyFont="1" applyFill="1" applyBorder="1" applyAlignment="1" applyProtection="1"/>
    <xf numFmtId="0" fontId="7" fillId="2" borderId="3" xfId="2" applyNumberFormat="1" applyFont="1" applyFill="1" applyBorder="1" applyAlignment="1" applyProtection="1">
      <alignment horizontal="center"/>
      <protection locked="0"/>
    </xf>
    <xf numFmtId="0" fontId="7" fillId="2" borderId="32" xfId="1" applyNumberFormat="1" applyFont="1" applyFill="1" applyBorder="1" applyAlignment="1">
      <alignment horizontal="center" vertical="top"/>
    </xf>
    <xf numFmtId="0" fontId="2" fillId="2" borderId="45" xfId="1" applyNumberFormat="1" applyFont="1" applyFill="1" applyBorder="1" applyAlignment="1" applyProtection="1">
      <alignment vertical="center" wrapText="1"/>
    </xf>
    <xf numFmtId="0" fontId="7" fillId="2" borderId="45" xfId="2" applyNumberFormat="1" applyFont="1" applyFill="1" applyBorder="1" applyAlignment="1" applyProtection="1">
      <alignment wrapText="1"/>
      <protection locked="0"/>
    </xf>
    <xf numFmtId="0" fontId="2" fillId="2" borderId="44" xfId="1" applyNumberFormat="1" applyFont="1" applyFill="1" applyBorder="1" applyAlignment="1" applyProtection="1">
      <alignment vertical="center" wrapText="1"/>
    </xf>
    <xf numFmtId="0" fontId="2" fillId="2" borderId="0" xfId="1" applyNumberFormat="1" applyFont="1" applyFill="1" applyBorder="1" applyAlignment="1" applyProtection="1">
      <alignment vertical="center"/>
    </xf>
    <xf numFmtId="0" fontId="7" fillId="2" borderId="0" xfId="2" applyNumberFormat="1" applyFont="1" applyFill="1" applyBorder="1" applyAlignment="1" applyProtection="1">
      <protection locked="0"/>
    </xf>
    <xf numFmtId="0" fontId="2" fillId="2" borderId="33" xfId="1" applyNumberFormat="1" applyFont="1" applyFill="1" applyBorder="1" applyAlignment="1" applyProtection="1">
      <alignment vertical="center"/>
    </xf>
    <xf numFmtId="3" fontId="8" fillId="8" borderId="0" xfId="1" applyNumberFormat="1" applyFont="1" applyFill="1" applyBorder="1" applyAlignment="1">
      <alignment horizontal="center" vertical="center" wrapText="1"/>
    </xf>
    <xf numFmtId="0" fontId="8" fillId="8" borderId="0" xfId="1" applyNumberFormat="1" applyFont="1" applyFill="1" applyBorder="1" applyAlignment="1" applyProtection="1">
      <alignment horizontal="center" vertical="center" wrapText="1"/>
    </xf>
    <xf numFmtId="0" fontId="9" fillId="8" borderId="0" xfId="1" applyFont="1" applyFill="1" applyBorder="1">
      <alignment vertical="top"/>
    </xf>
    <xf numFmtId="0" fontId="8" fillId="8" borderId="0" xfId="1" applyFont="1" applyFill="1" applyBorder="1" applyAlignment="1">
      <alignment horizontal="center" vertical="center" wrapText="1"/>
    </xf>
    <xf numFmtId="2" fontId="7" fillId="8" borderId="0" xfId="1" applyNumberFormat="1" applyFont="1" applyFill="1" applyBorder="1" applyAlignment="1">
      <alignment horizontal="center" vertical="center"/>
    </xf>
    <xf numFmtId="0" fontId="2" fillId="8" borderId="0" xfId="1" applyFont="1" applyFill="1" applyBorder="1">
      <alignment vertical="top"/>
    </xf>
    <xf numFmtId="0" fontId="2" fillId="8" borderId="0" xfId="1" applyNumberFormat="1" applyFont="1" applyFill="1" applyBorder="1" applyAlignment="1" applyProtection="1">
      <alignment horizontal="center" vertical="center" wrapText="1"/>
    </xf>
    <xf numFmtId="0" fontId="7" fillId="8" borderId="0" xfId="1" applyFont="1" applyFill="1" applyBorder="1">
      <alignment vertical="top"/>
    </xf>
    <xf numFmtId="7" fontId="7" fillId="8" borderId="0" xfId="1" applyNumberFormat="1" applyFont="1" applyFill="1" applyBorder="1">
      <alignment vertical="top"/>
    </xf>
    <xf numFmtId="0" fontId="8" fillId="8" borderId="0" xfId="1" applyFont="1" applyFill="1" applyBorder="1">
      <alignment vertical="top"/>
    </xf>
    <xf numFmtId="0" fontId="5" fillId="8" borderId="0" xfId="1" applyFont="1" applyFill="1">
      <alignment vertical="top"/>
    </xf>
    <xf numFmtId="7" fontId="7" fillId="8" borderId="33" xfId="3" applyNumberFormat="1" applyFont="1" applyFill="1" applyBorder="1" applyAlignment="1">
      <alignment horizontal="center" vertical="center"/>
    </xf>
    <xf numFmtId="1" fontId="7" fillId="8" borderId="33" xfId="1" applyNumberFormat="1" applyFont="1" applyFill="1" applyBorder="1" applyAlignment="1">
      <alignment horizontal="center" vertical="center"/>
    </xf>
    <xf numFmtId="0" fontId="2" fillId="8" borderId="33" xfId="1" applyFont="1" applyFill="1" applyBorder="1">
      <alignment vertical="top"/>
    </xf>
    <xf numFmtId="37" fontId="7" fillId="8" borderId="33" xfId="1" applyNumberFormat="1" applyFont="1" applyFill="1" applyBorder="1" applyAlignment="1">
      <alignment horizontal="center" vertical="top"/>
    </xf>
    <xf numFmtId="0" fontId="5" fillId="8" borderId="33" xfId="1" applyFont="1" applyFill="1" applyBorder="1">
      <alignment vertical="top"/>
    </xf>
    <xf numFmtId="0" fontId="2" fillId="3" borderId="47" xfId="1" applyNumberFormat="1" applyFont="1" applyFill="1" applyBorder="1" applyAlignment="1" applyProtection="1">
      <alignment horizontal="left" vertical="center"/>
    </xf>
    <xf numFmtId="0" fontId="1" fillId="0" borderId="47" xfId="1" applyFont="1" applyBorder="1">
      <alignment vertical="top"/>
    </xf>
    <xf numFmtId="0" fontId="1" fillId="3" borderId="45" xfId="1" applyFont="1" applyFill="1" applyBorder="1">
      <alignment vertical="top"/>
    </xf>
    <xf numFmtId="0" fontId="2" fillId="3" borderId="45" xfId="1" applyNumberFormat="1" applyFont="1" applyFill="1" applyBorder="1" applyAlignment="1" applyProtection="1">
      <alignment horizontal="center" vertical="center" wrapText="1"/>
    </xf>
    <xf numFmtId="1" fontId="1" fillId="3" borderId="48" xfId="1" applyNumberFormat="1" applyFont="1" applyFill="1" applyBorder="1" applyAlignment="1">
      <alignment horizontal="center" vertical="top"/>
    </xf>
    <xf numFmtId="1" fontId="1" fillId="0" borderId="48" xfId="1" applyNumberFormat="1" applyFont="1" applyBorder="1" applyAlignment="1">
      <alignment horizontal="center" vertical="top"/>
    </xf>
    <xf numFmtId="0" fontId="5" fillId="3" borderId="35" xfId="1" applyFont="1" applyFill="1" applyBorder="1">
      <alignment vertical="top"/>
    </xf>
    <xf numFmtId="0" fontId="2" fillId="2" borderId="21" xfId="1" applyNumberFormat="1" applyFont="1" applyFill="1" applyBorder="1" applyAlignment="1" applyProtection="1">
      <alignment horizontal="left" vertical="center" indent="2"/>
    </xf>
    <xf numFmtId="1" fontId="2" fillId="2" borderId="23" xfId="1" applyNumberFormat="1" applyFont="1" applyFill="1" applyBorder="1" applyAlignment="1">
      <alignment horizontal="center" vertical="top"/>
    </xf>
    <xf numFmtId="1" fontId="1" fillId="3" borderId="50" xfId="1" applyNumberFormat="1" applyFont="1" applyFill="1" applyBorder="1" applyAlignment="1">
      <alignment horizontal="center" vertical="top"/>
    </xf>
    <xf numFmtId="0" fontId="0" fillId="3" borderId="51" xfId="0" applyFill="1" applyBorder="1"/>
    <xf numFmtId="0" fontId="0" fillId="3" borderId="35" xfId="0" applyFill="1" applyBorder="1"/>
    <xf numFmtId="0" fontId="0" fillId="3" borderId="49" xfId="0" applyFill="1" applyBorder="1"/>
    <xf numFmtId="0" fontId="0" fillId="3" borderId="50" xfId="0" applyFill="1" applyBorder="1"/>
    <xf numFmtId="0" fontId="0" fillId="3" borderId="0" xfId="0" applyFill="1" applyBorder="1"/>
    <xf numFmtId="0" fontId="0" fillId="3" borderId="33" xfId="0" applyFill="1" applyBorder="1"/>
    <xf numFmtId="0" fontId="0" fillId="3" borderId="0" xfId="0" applyFill="1" applyBorder="1" applyAlignment="1">
      <alignment horizontal="left" wrapText="1"/>
    </xf>
    <xf numFmtId="0" fontId="10" fillId="3" borderId="0" xfId="0" applyFont="1" applyFill="1" applyBorder="1"/>
    <xf numFmtId="0" fontId="0" fillId="3" borderId="0" xfId="0" applyFill="1"/>
    <xf numFmtId="0" fontId="0" fillId="3" borderId="52" xfId="0" applyFill="1" applyBorder="1"/>
    <xf numFmtId="0" fontId="0" fillId="3" borderId="53" xfId="0" applyFill="1" applyBorder="1"/>
    <xf numFmtId="0" fontId="0" fillId="3" borderId="46" xfId="0" applyFill="1" applyBorder="1"/>
    <xf numFmtId="0" fontId="2" fillId="2" borderId="5" xfId="1" applyFont="1" applyFill="1" applyBorder="1" applyAlignment="1">
      <alignment horizontal="center" vertical="center" textRotation="90" wrapText="1"/>
    </xf>
    <xf numFmtId="0" fontId="2" fillId="2" borderId="11" xfId="1" applyFont="1" applyFill="1" applyBorder="1" applyAlignment="1">
      <alignment horizontal="center" vertical="center" textRotation="90" wrapText="1"/>
    </xf>
    <xf numFmtId="0" fontId="2" fillId="2" borderId="43" xfId="1" applyFont="1" applyFill="1" applyBorder="1" applyAlignment="1">
      <alignment horizontal="center" vertical="center" textRotation="90" wrapText="1"/>
    </xf>
    <xf numFmtId="0" fontId="8" fillId="3" borderId="0" xfId="2" applyNumberFormat="1" applyFont="1" applyFill="1" applyBorder="1" applyAlignment="1" applyProtection="1">
      <alignment horizontal="center" vertical="center" wrapText="1"/>
    </xf>
    <xf numFmtId="0" fontId="2" fillId="3" borderId="0" xfId="2" applyNumberFormat="1" applyFont="1" applyFill="1" applyBorder="1" applyAlignment="1" applyProtection="1">
      <alignment horizontal="center" vertical="center" wrapText="1"/>
    </xf>
    <xf numFmtId="0" fontId="2" fillId="2" borderId="20" xfId="2" applyNumberFormat="1" applyFont="1" applyFill="1" applyBorder="1" applyAlignment="1" applyProtection="1">
      <alignment horizontal="center" vertical="center" wrapText="1"/>
    </xf>
    <xf numFmtId="0" fontId="2" fillId="2" borderId="4" xfId="1" applyNumberFormat="1" applyFont="1" applyFill="1" applyBorder="1" applyAlignment="1" applyProtection="1">
      <alignment horizontal="center" vertical="center"/>
    </xf>
    <xf numFmtId="0" fontId="2" fillId="2" borderId="36" xfId="1" applyNumberFormat="1" applyFont="1" applyFill="1" applyBorder="1" applyAlignment="1" applyProtection="1">
      <alignment horizontal="center" vertical="center"/>
    </xf>
    <xf numFmtId="0" fontId="1" fillId="0" borderId="0" xfId="1" applyFont="1" applyBorder="1" applyAlignment="1">
      <alignment horizontal="center" vertical="top"/>
    </xf>
    <xf numFmtId="0" fontId="2" fillId="2" borderId="5" xfId="1" applyNumberFormat="1" applyFont="1" applyFill="1" applyBorder="1" applyAlignment="1">
      <alignment horizontal="center" vertical="center" textRotation="90" wrapText="1"/>
    </xf>
    <xf numFmtId="0" fontId="2" fillId="7" borderId="42" xfId="2" applyNumberFormat="1" applyFont="1" applyFill="1" applyBorder="1" applyAlignment="1" applyProtection="1">
      <alignment horizontal="center" vertical="center" wrapText="1"/>
    </xf>
    <xf numFmtId="0" fontId="2" fillId="7" borderId="27" xfId="2" applyNumberFormat="1" applyFont="1" applyFill="1" applyBorder="1" applyAlignment="1" applyProtection="1">
      <alignment horizontal="center" vertical="center" wrapText="1"/>
    </xf>
    <xf numFmtId="0" fontId="2" fillId="6" borderId="42" xfId="2" applyNumberFormat="1" applyFont="1" applyFill="1" applyBorder="1" applyAlignment="1" applyProtection="1">
      <alignment horizontal="center" vertical="center" wrapText="1"/>
    </xf>
    <xf numFmtId="0" fontId="2" fillId="6" borderId="27" xfId="2" applyNumberFormat="1" applyFont="1" applyFill="1" applyBorder="1" applyAlignment="1" applyProtection="1">
      <alignment horizontal="center" vertical="center" wrapText="1"/>
    </xf>
    <xf numFmtId="0" fontId="2" fillId="2" borderId="6" xfId="1" applyFont="1" applyFill="1" applyBorder="1" applyAlignment="1">
      <alignment horizontal="center" vertical="center" textRotation="90" wrapText="1"/>
    </xf>
    <xf numFmtId="0" fontId="10" fillId="3" borderId="35" xfId="0" applyFont="1" applyFill="1" applyBorder="1" applyAlignment="1">
      <alignment horizontal="left" wrapText="1"/>
    </xf>
    <xf numFmtId="0" fontId="10" fillId="3" borderId="0" xfId="0" applyFont="1" applyFill="1" applyBorder="1" applyAlignment="1">
      <alignment horizontal="left" wrapText="1"/>
    </xf>
    <xf numFmtId="0" fontId="10" fillId="3" borderId="0" xfId="0" applyFont="1" applyFill="1" applyBorder="1" applyAlignment="1">
      <alignment horizontal="left" vertical="top" wrapText="1"/>
    </xf>
    <xf numFmtId="0" fontId="10" fillId="3" borderId="0" xfId="0" applyFont="1" applyFill="1" applyAlignment="1">
      <alignment horizontal="left" vertical="top" wrapText="1"/>
    </xf>
    <xf numFmtId="0" fontId="11" fillId="8" borderId="0" xfId="0" applyFont="1" applyFill="1"/>
    <xf numFmtId="0" fontId="0" fillId="8" borderId="0" xfId="0" applyFill="1"/>
    <xf numFmtId="0" fontId="0" fillId="8" borderId="33" xfId="0" applyFill="1" applyBorder="1"/>
  </cellXfs>
  <cellStyles count="5">
    <cellStyle name="Comma 2 2" xfId="3"/>
    <cellStyle name="Currency 2 2" xfId="2"/>
    <cellStyle name="Normal" xfId="0" builtinId="0"/>
    <cellStyle name="Normal 2 2 2" xfId="1"/>
    <cellStyle name="Percent 2 2" xfId="4"/>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820962</xdr:colOff>
      <xdr:row>19</xdr:row>
      <xdr:rowOff>146275</xdr:rowOff>
    </xdr:from>
    <xdr:to>
      <xdr:col>10</xdr:col>
      <xdr:colOff>420688</xdr:colOff>
      <xdr:row>21</xdr:row>
      <xdr:rowOff>127000</xdr:rowOff>
    </xdr:to>
    <xdr:sp macro="[0]!VDPoolSolver" textlink="">
      <xdr:nvSpPr>
        <xdr:cNvPr id="2" name="Rectangle: Rounded Corners 1">
          <a:extLst>
            <a:ext uri="{FF2B5EF4-FFF2-40B4-BE49-F238E27FC236}">
              <a16:creationId xmlns:a16="http://schemas.microsoft.com/office/drawing/2014/main" xmlns="" id="{7BC9E924-C9E9-4B91-824A-C0EF886BD968}"/>
            </a:ext>
          </a:extLst>
        </xdr:cNvPr>
        <xdr:cNvSpPr/>
      </xdr:nvSpPr>
      <xdr:spPr>
        <a:xfrm>
          <a:off x="9790337" y="3075213"/>
          <a:ext cx="2314351" cy="322037"/>
        </a:xfrm>
        <a:prstGeom prst="roundRect">
          <a:avLst/>
        </a:prstGeom>
        <a:solidFill>
          <a:schemeClr val="tx2">
            <a:lumMod val="75000"/>
          </a:schemeClr>
        </a:solidFill>
        <a:effectLst>
          <a:outerShdw blurRad="50800" dist="50800" dir="5400000" algn="ctr" rotWithShape="0">
            <a:schemeClr val="bg2">
              <a:lumMod val="75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solidFill>
                <a:schemeClr val="bg1"/>
              </a:solidFill>
            </a:rPr>
            <a:t>Calculate Voice or V&amp;D</a:t>
          </a:r>
          <a:r>
            <a:rPr lang="en-US" sz="1400" baseline="0">
              <a:solidFill>
                <a:schemeClr val="bg1"/>
              </a:solidFill>
            </a:rPr>
            <a:t> </a:t>
          </a:r>
          <a:r>
            <a:rPr lang="en-US" sz="1400" b="1" baseline="0">
              <a:solidFill>
                <a:schemeClr val="bg1"/>
              </a:solidFill>
            </a:rPr>
            <a:t>Pool</a:t>
          </a:r>
          <a:endParaRPr lang="en-US" sz="1400" b="1">
            <a:solidFill>
              <a:schemeClr val="bg1"/>
            </a:solidFill>
          </a:endParaRPr>
        </a:p>
      </xdr:txBody>
    </xdr:sp>
    <xdr:clientData/>
  </xdr:twoCellAnchor>
  <xdr:twoCellAnchor>
    <xdr:from>
      <xdr:col>12</xdr:col>
      <xdr:colOff>698498</xdr:colOff>
      <xdr:row>20</xdr:row>
      <xdr:rowOff>2</xdr:rowOff>
    </xdr:from>
    <xdr:to>
      <xdr:col>13</xdr:col>
      <xdr:colOff>519555</xdr:colOff>
      <xdr:row>21</xdr:row>
      <xdr:rowOff>153355</xdr:rowOff>
    </xdr:to>
    <xdr:sp macro="[0]!DataPoolSolver" textlink="">
      <xdr:nvSpPr>
        <xdr:cNvPr id="3" name="Rectangle: Rounded Corners 2">
          <a:extLst>
            <a:ext uri="{FF2B5EF4-FFF2-40B4-BE49-F238E27FC236}">
              <a16:creationId xmlns:a16="http://schemas.microsoft.com/office/drawing/2014/main" xmlns="" id="{9C060A0F-955A-458D-93CE-52C2B0AC47B4}"/>
            </a:ext>
          </a:extLst>
        </xdr:cNvPr>
        <xdr:cNvSpPr/>
      </xdr:nvSpPr>
      <xdr:spPr>
        <a:xfrm>
          <a:off x="13509623" y="3103565"/>
          <a:ext cx="2313432" cy="320040"/>
        </a:xfrm>
        <a:prstGeom prst="roundRect">
          <a:avLst/>
        </a:prstGeom>
        <a:solidFill>
          <a:schemeClr val="tx2">
            <a:lumMod val="75000"/>
          </a:schemeClr>
        </a:solidFill>
        <a:effectLst>
          <a:outerShdw blurRad="50800" dist="50800" dir="5400000" algn="ctr" rotWithShape="0">
            <a:schemeClr val="bg2">
              <a:lumMod val="75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solidFill>
                <a:schemeClr val="bg1"/>
              </a:solidFill>
            </a:rPr>
            <a:t>Calculate  Data Pool</a:t>
          </a:r>
          <a:endParaRPr lang="en-US" sz="1400" b="1">
            <a:solidFill>
              <a:schemeClr val="bg1"/>
            </a:solidFill>
          </a:endParaRPr>
        </a:p>
      </xdr:txBody>
    </xdr:sp>
    <xdr:clientData/>
  </xdr:twoCellAnchor>
  <xdr:twoCellAnchor>
    <xdr:from>
      <xdr:col>12</xdr:col>
      <xdr:colOff>687721</xdr:colOff>
      <xdr:row>23</xdr:row>
      <xdr:rowOff>13607</xdr:rowOff>
    </xdr:from>
    <xdr:to>
      <xdr:col>13</xdr:col>
      <xdr:colOff>508778</xdr:colOff>
      <xdr:row>25</xdr:row>
      <xdr:rowOff>9072</xdr:rowOff>
    </xdr:to>
    <xdr:sp macro="[0]!ClearCalculator" textlink="">
      <xdr:nvSpPr>
        <xdr:cNvPr id="5" name="Rectangle: Rounded Corners 4">
          <a:extLst>
            <a:ext uri="{FF2B5EF4-FFF2-40B4-BE49-F238E27FC236}">
              <a16:creationId xmlns:a16="http://schemas.microsoft.com/office/drawing/2014/main" xmlns="" id="{88D8D4AF-FAAB-4B4B-A14D-5C7AE13C27FD}"/>
            </a:ext>
          </a:extLst>
        </xdr:cNvPr>
        <xdr:cNvSpPr/>
      </xdr:nvSpPr>
      <xdr:spPr>
        <a:xfrm>
          <a:off x="13498846" y="3617232"/>
          <a:ext cx="2313432" cy="320903"/>
        </a:xfrm>
        <a:prstGeom prst="roundRect">
          <a:avLst/>
        </a:prstGeom>
        <a:solidFill>
          <a:schemeClr val="tx2">
            <a:lumMod val="75000"/>
          </a:schemeClr>
        </a:solidFill>
        <a:effectLst>
          <a:outerShdw blurRad="50800" dist="50800" dir="5400000" algn="ctr" rotWithShape="0">
            <a:schemeClr val="bg2">
              <a:lumMod val="75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Clear</a:t>
          </a:r>
          <a:r>
            <a:rPr lang="en-US" sz="1400" b="1" baseline="0">
              <a:solidFill>
                <a:schemeClr val="bg1"/>
              </a:solidFill>
            </a:rPr>
            <a:t> Plan Calculator</a:t>
          </a:r>
          <a:endParaRPr lang="en-US" sz="1400" b="1">
            <a:solidFill>
              <a:schemeClr val="bg1"/>
            </a:solidFill>
          </a:endParaRPr>
        </a:p>
      </xdr:txBody>
    </xdr:sp>
    <xdr:clientData/>
  </xdr:twoCellAnchor>
  <xdr:twoCellAnchor>
    <xdr:from>
      <xdr:col>9</xdr:col>
      <xdr:colOff>806221</xdr:colOff>
      <xdr:row>22</xdr:row>
      <xdr:rowOff>153079</xdr:rowOff>
    </xdr:from>
    <xdr:to>
      <xdr:col>10</xdr:col>
      <xdr:colOff>405028</xdr:colOff>
      <xdr:row>24</xdr:row>
      <xdr:rowOff>147682</xdr:rowOff>
    </xdr:to>
    <xdr:sp macro="[0]!ToInstruct" textlink="">
      <xdr:nvSpPr>
        <xdr:cNvPr id="6" name="Rectangle: Rounded Corners 4">
          <a:extLst>
            <a:ext uri="{FF2B5EF4-FFF2-40B4-BE49-F238E27FC236}">
              <a16:creationId xmlns:a16="http://schemas.microsoft.com/office/drawing/2014/main" xmlns="" id="{88D8D4AF-FAAB-4B4B-A14D-5C7AE13C27FD}"/>
            </a:ext>
          </a:extLst>
        </xdr:cNvPr>
        <xdr:cNvSpPr/>
      </xdr:nvSpPr>
      <xdr:spPr>
        <a:xfrm>
          <a:off x="9775596" y="3590017"/>
          <a:ext cx="2313432" cy="320040"/>
        </a:xfrm>
        <a:prstGeom prst="roundRect">
          <a:avLst/>
        </a:prstGeom>
        <a:solidFill>
          <a:schemeClr val="tx2">
            <a:lumMod val="75000"/>
          </a:schemeClr>
        </a:solidFill>
        <a:effectLst>
          <a:outerShdw blurRad="50800" dist="50800" dir="5400000" algn="ctr" rotWithShape="0">
            <a:schemeClr val="bg2">
              <a:lumMod val="75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Instructions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101601</xdr:colOff>
      <xdr:row>27</xdr:row>
      <xdr:rowOff>25400</xdr:rowOff>
    </xdr:from>
    <xdr:to>
      <xdr:col>10</xdr:col>
      <xdr:colOff>408053</xdr:colOff>
      <xdr:row>40</xdr:row>
      <xdr:rowOff>107385</xdr:rowOff>
    </xdr:to>
    <xdr:pic>
      <xdr:nvPicPr>
        <xdr:cNvPr id="2" name="Picture 1"/>
        <xdr:cNvPicPr>
          <a:picLocks noChangeAspect="1"/>
        </xdr:cNvPicPr>
      </xdr:nvPicPr>
      <xdr:blipFill>
        <a:blip xmlns:r="http://schemas.openxmlformats.org/officeDocument/2006/relationships" r:embed="rId1"/>
        <a:stretch>
          <a:fillRect/>
        </a:stretch>
      </xdr:blipFill>
      <xdr:spPr>
        <a:xfrm>
          <a:off x="711201" y="5010150"/>
          <a:ext cx="5792852" cy="2475935"/>
        </a:xfrm>
        <a:prstGeom prst="rect">
          <a:avLst/>
        </a:prstGeom>
      </xdr:spPr>
    </xdr:pic>
    <xdr:clientData/>
  </xdr:twoCellAnchor>
  <xdr:twoCellAnchor editAs="oneCell">
    <xdr:from>
      <xdr:col>1</xdr:col>
      <xdr:colOff>387350</xdr:colOff>
      <xdr:row>9</xdr:row>
      <xdr:rowOff>140809</xdr:rowOff>
    </xdr:from>
    <xdr:to>
      <xdr:col>10</xdr:col>
      <xdr:colOff>317500</xdr:colOff>
      <xdr:row>17</xdr:row>
      <xdr:rowOff>165193</xdr:rowOff>
    </xdr:to>
    <xdr:pic>
      <xdr:nvPicPr>
        <xdr:cNvPr id="3" name="Picture 2"/>
        <xdr:cNvPicPr>
          <a:picLocks noChangeAspect="1"/>
        </xdr:cNvPicPr>
      </xdr:nvPicPr>
      <xdr:blipFill>
        <a:blip xmlns:r="http://schemas.openxmlformats.org/officeDocument/2006/relationships" r:embed="rId2"/>
        <a:stretch>
          <a:fillRect/>
        </a:stretch>
      </xdr:blipFill>
      <xdr:spPr>
        <a:xfrm>
          <a:off x="996950" y="1810859"/>
          <a:ext cx="5416550" cy="1497584"/>
        </a:xfrm>
        <a:prstGeom prst="rect">
          <a:avLst/>
        </a:prstGeom>
      </xdr:spPr>
    </xdr:pic>
    <xdr:clientData/>
  </xdr:twoCellAnchor>
  <xdr:twoCellAnchor editAs="oneCell">
    <xdr:from>
      <xdr:col>1</xdr:col>
      <xdr:colOff>508001</xdr:colOff>
      <xdr:row>46</xdr:row>
      <xdr:rowOff>102862</xdr:rowOff>
    </xdr:from>
    <xdr:to>
      <xdr:col>10</xdr:col>
      <xdr:colOff>336551</xdr:colOff>
      <xdr:row>61</xdr:row>
      <xdr:rowOff>148613</xdr:rowOff>
    </xdr:to>
    <xdr:pic>
      <xdr:nvPicPr>
        <xdr:cNvPr id="5" name="Picture 4"/>
        <xdr:cNvPicPr>
          <a:picLocks noChangeAspect="1"/>
        </xdr:cNvPicPr>
      </xdr:nvPicPr>
      <xdr:blipFill>
        <a:blip xmlns:r="http://schemas.openxmlformats.org/officeDocument/2006/relationships" r:embed="rId3"/>
        <a:stretch>
          <a:fillRect/>
        </a:stretch>
      </xdr:blipFill>
      <xdr:spPr>
        <a:xfrm>
          <a:off x="1117601" y="8611862"/>
          <a:ext cx="5314950" cy="2808001"/>
        </a:xfrm>
        <a:prstGeom prst="rect">
          <a:avLst/>
        </a:prstGeom>
      </xdr:spPr>
    </xdr:pic>
    <xdr:clientData/>
  </xdr:twoCellAnchor>
  <xdr:twoCellAnchor>
    <xdr:from>
      <xdr:col>12</xdr:col>
      <xdr:colOff>50800</xdr:colOff>
      <xdr:row>1</xdr:row>
      <xdr:rowOff>31750</xdr:rowOff>
    </xdr:from>
    <xdr:to>
      <xdr:col>14</xdr:col>
      <xdr:colOff>355600</xdr:colOff>
      <xdr:row>1</xdr:row>
      <xdr:rowOff>241300</xdr:rowOff>
    </xdr:to>
    <xdr:sp macro="[0]!PoolCalc.ToCalc" textlink="">
      <xdr:nvSpPr>
        <xdr:cNvPr id="6" name="Rectangle: Rounded Corners 4">
          <a:extLst>
            <a:ext uri="{FF2B5EF4-FFF2-40B4-BE49-F238E27FC236}">
              <a16:creationId xmlns:a16="http://schemas.microsoft.com/office/drawing/2014/main" xmlns="" id="{88D8D4AF-FAAB-4B4B-A14D-5C7AE13C27FD}"/>
            </a:ext>
          </a:extLst>
        </xdr:cNvPr>
        <xdr:cNvSpPr/>
      </xdr:nvSpPr>
      <xdr:spPr>
        <a:xfrm>
          <a:off x="7366000" y="222250"/>
          <a:ext cx="1524000" cy="209550"/>
        </a:xfrm>
        <a:prstGeom prst="roundRect">
          <a:avLst/>
        </a:prstGeom>
        <a:solidFill>
          <a:schemeClr val="tx2">
            <a:lumMod val="75000"/>
          </a:schemeClr>
        </a:solidFill>
        <a:effectLst>
          <a:outerShdw blurRad="50800" dist="50800" dir="5400000" algn="ctr" rotWithShape="0">
            <a:schemeClr val="bg2">
              <a:lumMod val="75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Pool Calculator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FF00"/>
  </sheetPr>
  <dimension ref="A2:S42"/>
  <sheetViews>
    <sheetView showGridLines="0" showRowColHeaders="0" tabSelected="1" zoomScale="70" zoomScaleNormal="70" workbookViewId="0">
      <selection activeCell="M2" sqref="M2"/>
    </sheetView>
  </sheetViews>
  <sheetFormatPr defaultColWidth="9.1796875" defaultRowHeight="12.5"/>
  <cols>
    <col min="1" max="1" width="2" style="2" customWidth="1"/>
    <col min="2" max="2" width="5.90625" style="2" customWidth="1"/>
    <col min="3" max="3" width="48.54296875" style="2" customWidth="1"/>
    <col min="4" max="4" width="11.1796875" style="35" customWidth="1"/>
    <col min="5" max="5" width="11.1796875" style="2" customWidth="1"/>
    <col min="6" max="6" width="12.81640625" style="2" customWidth="1"/>
    <col min="7" max="8" width="17.26953125" style="2" customWidth="1"/>
    <col min="9" max="9" width="2.26953125" style="2" customWidth="1"/>
    <col min="10" max="10" width="38.81640625" style="2" customWidth="1"/>
    <col min="11" max="11" width="13.453125" style="2" customWidth="1"/>
    <col min="12" max="12" width="2.7265625" style="2" customWidth="1"/>
    <col min="13" max="13" width="35.6328125" style="2" customWidth="1"/>
    <col min="14" max="14" width="13.7265625" style="2" customWidth="1"/>
    <col min="15" max="252" width="11.1796875" style="2" customWidth="1"/>
    <col min="253" max="16384" width="9.1796875" style="2"/>
  </cols>
  <sheetData>
    <row r="2" spans="1:17" ht="16" customHeight="1" thickBot="1">
      <c r="A2" s="1"/>
      <c r="B2" s="38"/>
      <c r="C2" s="37"/>
      <c r="D2" s="39"/>
      <c r="E2" s="36"/>
      <c r="F2" s="36"/>
      <c r="G2" s="40"/>
      <c r="H2" s="40"/>
      <c r="I2" s="40"/>
      <c r="J2" s="40"/>
      <c r="K2" s="40"/>
      <c r="L2" s="40"/>
      <c r="M2" s="40"/>
      <c r="N2" s="41"/>
      <c r="O2" s="1"/>
      <c r="P2" s="1"/>
      <c r="Q2" s="1"/>
    </row>
    <row r="3" spans="1:17" ht="36" customHeight="1" thickBot="1">
      <c r="B3" s="46"/>
      <c r="C3" s="116" t="s">
        <v>0</v>
      </c>
      <c r="D3" s="59" t="s">
        <v>19</v>
      </c>
      <c r="E3" s="59" t="s">
        <v>1</v>
      </c>
      <c r="F3" s="59" t="s">
        <v>2</v>
      </c>
      <c r="G3" s="59" t="s">
        <v>3</v>
      </c>
      <c r="H3" s="65" t="s">
        <v>4</v>
      </c>
      <c r="I3" s="4"/>
      <c r="L3" s="5"/>
      <c r="M3" s="6"/>
      <c r="O3" s="1"/>
      <c r="P3" s="1"/>
    </row>
    <row r="4" spans="1:17" ht="13.5" thickBot="1">
      <c r="B4" s="47"/>
      <c r="C4" s="56"/>
      <c r="D4" s="136"/>
      <c r="E4" s="136"/>
      <c r="F4" s="57"/>
      <c r="G4" s="58">
        <f>SUM($G$5:$G$11)</f>
        <v>0</v>
      </c>
      <c r="H4" s="66">
        <f>SUM($H$5:$H$18)</f>
        <v>0</v>
      </c>
      <c r="I4" s="7"/>
      <c r="J4" s="137" t="s">
        <v>5</v>
      </c>
      <c r="K4" s="138"/>
      <c r="L4" s="139"/>
      <c r="M4" s="137" t="s">
        <v>6</v>
      </c>
      <c r="N4" s="138"/>
    </row>
    <row r="5" spans="1:17" ht="14.25" customHeight="1">
      <c r="B5" s="145" t="s">
        <v>18</v>
      </c>
      <c r="C5" s="8"/>
      <c r="D5" s="8"/>
      <c r="E5" s="9">
        <v>999.99</v>
      </c>
      <c r="F5" s="10">
        <v>0</v>
      </c>
      <c r="G5" s="11">
        <v>0</v>
      </c>
      <c r="H5" s="67">
        <f t="shared" ref="H5:H26" si="0">G5*F5</f>
        <v>0</v>
      </c>
      <c r="I5" s="26"/>
      <c r="J5" s="12" t="s">
        <v>7</v>
      </c>
      <c r="K5" s="71"/>
      <c r="L5" s="139"/>
      <c r="M5" s="15" t="s">
        <v>8</v>
      </c>
      <c r="N5" s="71"/>
    </row>
    <row r="6" spans="1:17" ht="13">
      <c r="B6" s="132"/>
      <c r="C6" s="13"/>
      <c r="D6" s="13"/>
      <c r="E6" s="14">
        <v>999.99</v>
      </c>
      <c r="F6" s="10">
        <v>0</v>
      </c>
      <c r="G6" s="11">
        <v>0</v>
      </c>
      <c r="H6" s="68">
        <f t="shared" si="0"/>
        <v>0</v>
      </c>
      <c r="I6" s="26"/>
      <c r="J6" s="15" t="s">
        <v>9</v>
      </c>
      <c r="K6" s="72"/>
      <c r="M6" s="15" t="s">
        <v>10</v>
      </c>
      <c r="N6" s="72"/>
    </row>
    <row r="7" spans="1:17" ht="13.5" thickBot="1">
      <c r="B7" s="132"/>
      <c r="C7" s="13"/>
      <c r="D7" s="13"/>
      <c r="E7" s="14">
        <v>999.99</v>
      </c>
      <c r="F7" s="10">
        <v>0</v>
      </c>
      <c r="G7" s="11">
        <v>0</v>
      </c>
      <c r="H7" s="68">
        <f t="shared" si="0"/>
        <v>0</v>
      </c>
      <c r="I7" s="26"/>
      <c r="J7" s="17" t="s">
        <v>11</v>
      </c>
      <c r="K7" s="73">
        <v>0.05</v>
      </c>
      <c r="M7" s="17" t="s">
        <v>11</v>
      </c>
      <c r="N7" s="73">
        <v>0.05</v>
      </c>
    </row>
    <row r="8" spans="1:17" ht="13">
      <c r="B8" s="132"/>
      <c r="C8" s="45"/>
      <c r="D8" s="13"/>
      <c r="E8" s="16">
        <v>999.99</v>
      </c>
      <c r="F8" s="10">
        <v>0</v>
      </c>
      <c r="G8" s="11">
        <v>0</v>
      </c>
      <c r="H8" s="68">
        <f t="shared" si="0"/>
        <v>0</v>
      </c>
      <c r="I8" s="26"/>
      <c r="J8" s="12" t="s">
        <v>12</v>
      </c>
      <c r="K8" s="74">
        <f>($K$6/(1-$K$7))</f>
        <v>0</v>
      </c>
      <c r="M8" s="12" t="s">
        <v>12</v>
      </c>
      <c r="N8" s="74">
        <f>($N$6/(1-$N$7))</f>
        <v>0</v>
      </c>
    </row>
    <row r="9" spans="1:17" ht="13.5" thickBot="1">
      <c r="B9" s="132"/>
      <c r="C9" s="13"/>
      <c r="D9" s="13"/>
      <c r="E9" s="14">
        <v>999.99</v>
      </c>
      <c r="F9" s="10">
        <v>0</v>
      </c>
      <c r="G9" s="11">
        <v>0</v>
      </c>
      <c r="H9" s="68">
        <f t="shared" si="0"/>
        <v>0</v>
      </c>
      <c r="I9" s="26"/>
      <c r="J9" s="22" t="s">
        <v>13</v>
      </c>
      <c r="K9" s="75">
        <f>IFERROR($K$6/$K$5, 0)</f>
        <v>0</v>
      </c>
      <c r="M9" s="22" t="s">
        <v>13</v>
      </c>
      <c r="N9" s="75">
        <f>IFERROR($N$6/$N$5, 0)</f>
        <v>0</v>
      </c>
    </row>
    <row r="10" spans="1:17" ht="13.5" thickBot="1">
      <c r="B10" s="132"/>
      <c r="C10" s="13"/>
      <c r="D10" s="13"/>
      <c r="E10" s="14">
        <v>999.99</v>
      </c>
      <c r="F10" s="10">
        <v>0</v>
      </c>
      <c r="G10" s="11">
        <v>0</v>
      </c>
      <c r="H10" s="68">
        <f t="shared" si="0"/>
        <v>0</v>
      </c>
      <c r="I10" s="26"/>
      <c r="J10" s="23"/>
      <c r="K10" s="76"/>
      <c r="L10" s="18"/>
      <c r="M10" s="23"/>
      <c r="N10" s="76"/>
    </row>
    <row r="11" spans="1:17" ht="13.5" thickBot="1">
      <c r="B11" s="132"/>
      <c r="C11" s="34"/>
      <c r="D11" s="19"/>
      <c r="E11" s="14">
        <v>999.99</v>
      </c>
      <c r="F11" s="20">
        <v>0</v>
      </c>
      <c r="G11" s="21">
        <v>0</v>
      </c>
      <c r="H11" s="68">
        <f t="shared" si="0"/>
        <v>0</v>
      </c>
      <c r="I11" s="26"/>
      <c r="J11" s="12" t="s">
        <v>14</v>
      </c>
      <c r="K11" s="77">
        <f>SUM($E5*$G5,$E6*$G6,$E7*$G7,$E8*$G8,$E9*$G9, $E10*$G10,$E11*$G11, $E12*$G12, $E13*$G13,$E14*$G14,$E15*$G15,$E16*$G16,$E17*$G17,$E18*$G18)</f>
        <v>0</v>
      </c>
      <c r="M11" s="12" t="s">
        <v>14</v>
      </c>
      <c r="N11" s="77">
        <f>SUM($G$20*$E$20,$G$21*$E$21,$G$22*$E$22,$G$23*$E$23,$G$24*$E$24,$G$25*$E$25,$G$26*$E$26)</f>
        <v>0</v>
      </c>
    </row>
    <row r="12" spans="1:17" ht="15.75" customHeight="1">
      <c r="B12" s="140"/>
      <c r="C12" s="30"/>
      <c r="D12" s="30"/>
      <c r="E12" s="81"/>
      <c r="F12" s="85"/>
      <c r="G12" s="85"/>
      <c r="H12" s="86"/>
      <c r="I12" s="26"/>
      <c r="J12" s="15" t="s">
        <v>15</v>
      </c>
      <c r="K12" s="78">
        <f>K11</f>
        <v>0</v>
      </c>
      <c r="M12" s="15" t="s">
        <v>15</v>
      </c>
      <c r="N12" s="78">
        <f>N11</f>
        <v>0</v>
      </c>
    </row>
    <row r="13" spans="1:17" ht="12.75" customHeight="1" thickBot="1">
      <c r="B13" s="140"/>
      <c r="C13" s="43"/>
      <c r="D13" s="43"/>
      <c r="E13" s="82"/>
      <c r="F13" s="90"/>
      <c r="G13" s="91"/>
      <c r="H13" s="92"/>
      <c r="I13" s="26"/>
      <c r="J13" s="22" t="s">
        <v>16</v>
      </c>
      <c r="K13" s="79">
        <f>IFERROR((1-($K$6/$H$4)), 0)</f>
        <v>0</v>
      </c>
      <c r="M13" s="22" t="s">
        <v>16</v>
      </c>
      <c r="N13" s="79">
        <f>IFERROR((1-($N$6/$H$19)), 0)</f>
        <v>0</v>
      </c>
    </row>
    <row r="14" spans="1:17" ht="13" customHeight="1" thickBot="1">
      <c r="B14" s="140"/>
      <c r="C14" s="43"/>
      <c r="D14" s="43"/>
      <c r="E14" s="82"/>
      <c r="F14" s="87"/>
      <c r="G14" s="88"/>
      <c r="H14" s="89"/>
      <c r="I14" s="26"/>
      <c r="J14" s="141"/>
      <c r="K14" s="142"/>
      <c r="M14" s="143"/>
      <c r="N14" s="144"/>
    </row>
    <row r="15" spans="1:17" ht="13.5" hidden="1" customHeight="1" thickTop="1" thickBot="1">
      <c r="B15" s="140"/>
      <c r="C15" s="13"/>
      <c r="D15" s="13"/>
      <c r="E15" s="83"/>
      <c r="F15" s="10"/>
      <c r="G15" s="44">
        <v>167.50000000000713</v>
      </c>
      <c r="H15" s="69"/>
      <c r="I15" s="26"/>
    </row>
    <row r="16" spans="1:17" ht="13.5" hidden="1" customHeight="1" thickTop="1" thickBot="1">
      <c r="B16" s="140"/>
      <c r="C16" s="13"/>
      <c r="D16" s="13"/>
      <c r="E16" s="84"/>
      <c r="F16" s="10"/>
      <c r="G16" s="44">
        <v>167.50000000000713</v>
      </c>
      <c r="H16" s="69"/>
      <c r="I16" s="26"/>
      <c r="J16" s="24"/>
      <c r="K16" s="24"/>
      <c r="M16" s="24"/>
      <c r="N16" s="24"/>
    </row>
    <row r="17" spans="1:19" ht="14" hidden="1" customHeight="1" thickTop="1" thickBot="1">
      <c r="B17" s="140"/>
      <c r="C17" s="13"/>
      <c r="D17" s="13"/>
      <c r="E17" s="84"/>
      <c r="F17" s="10"/>
      <c r="G17" s="44">
        <v>167.50000000000713</v>
      </c>
      <c r="H17" s="69"/>
      <c r="I17" s="26"/>
      <c r="J17" s="134"/>
      <c r="K17" s="134"/>
      <c r="M17" s="135"/>
      <c r="N17" s="135"/>
    </row>
    <row r="18" spans="1:19" ht="14" hidden="1" customHeight="1" thickTop="1" thickBot="1">
      <c r="B18" s="42"/>
      <c r="C18" s="48"/>
      <c r="D18" s="48"/>
      <c r="E18" s="14"/>
      <c r="F18" s="49"/>
      <c r="G18" s="50"/>
      <c r="H18" s="69"/>
      <c r="I18" s="26"/>
      <c r="J18" s="27"/>
      <c r="K18" s="28"/>
      <c r="M18" s="27"/>
      <c r="N18" s="28"/>
    </row>
    <row r="19" spans="1:19" ht="15.75" customHeight="1" thickTop="1">
      <c r="B19" s="131" t="s">
        <v>17</v>
      </c>
      <c r="C19" s="51"/>
      <c r="D19" s="52"/>
      <c r="E19" s="53"/>
      <c r="F19" s="54"/>
      <c r="G19" s="55">
        <f>SUM($G$20:$G$26)</f>
        <v>0</v>
      </c>
      <c r="H19" s="117">
        <f>SUM(H20:H26)</f>
        <v>0</v>
      </c>
      <c r="I19" s="118"/>
      <c r="J19" s="109">
        <v>3028</v>
      </c>
      <c r="K19" s="110"/>
      <c r="L19" s="111"/>
      <c r="M19" s="112"/>
      <c r="N19" s="112"/>
      <c r="R19" s="25">
        <v>1</v>
      </c>
      <c r="S19" s="25">
        <v>5</v>
      </c>
    </row>
    <row r="20" spans="1:19" ht="13.5" customHeight="1">
      <c r="B20" s="132"/>
      <c r="C20" s="13"/>
      <c r="D20" s="31"/>
      <c r="E20" s="14">
        <v>999.99</v>
      </c>
      <c r="F20" s="32">
        <v>0</v>
      </c>
      <c r="G20" s="11">
        <v>0</v>
      </c>
      <c r="H20" s="68">
        <f t="shared" si="0"/>
        <v>0</v>
      </c>
      <c r="I20" s="113"/>
      <c r="J20" s="93"/>
      <c r="K20" s="94"/>
      <c r="L20" s="95"/>
      <c r="M20" s="96"/>
      <c r="N20" s="104"/>
      <c r="R20" s="25">
        <v>0</v>
      </c>
      <c r="S20" s="25">
        <v>0</v>
      </c>
    </row>
    <row r="21" spans="1:19" ht="13">
      <c r="B21" s="132"/>
      <c r="C21" s="13"/>
      <c r="D21" s="13"/>
      <c r="E21" s="16">
        <v>999.99</v>
      </c>
      <c r="F21" s="10">
        <v>0</v>
      </c>
      <c r="G21" s="11">
        <v>0</v>
      </c>
      <c r="H21" s="68">
        <f t="shared" si="0"/>
        <v>0</v>
      </c>
      <c r="I21" s="114"/>
      <c r="J21" s="96"/>
      <c r="K21" s="97"/>
      <c r="L21" s="95"/>
      <c r="M21" s="96"/>
      <c r="N21" s="105"/>
    </row>
    <row r="22" spans="1:19" ht="13">
      <c r="B22" s="132"/>
      <c r="C22" s="13"/>
      <c r="D22" s="13"/>
      <c r="E22" s="16">
        <v>999.99</v>
      </c>
      <c r="F22" s="10">
        <v>0</v>
      </c>
      <c r="G22" s="11">
        <v>0</v>
      </c>
      <c r="H22" s="68">
        <f t="shared" si="0"/>
        <v>0</v>
      </c>
      <c r="I22" s="114"/>
      <c r="J22" s="98"/>
      <c r="K22" s="98"/>
      <c r="L22" s="99"/>
      <c r="M22" s="98"/>
      <c r="N22" s="106"/>
      <c r="O22" s="29"/>
      <c r="P22" s="1"/>
    </row>
    <row r="23" spans="1:19" ht="13">
      <c r="B23" s="132"/>
      <c r="C23" s="13"/>
      <c r="D23" s="13"/>
      <c r="E23" s="16">
        <v>999.99</v>
      </c>
      <c r="F23" s="10">
        <v>0</v>
      </c>
      <c r="G23" s="11">
        <v>0</v>
      </c>
      <c r="H23" s="68">
        <f t="shared" si="0"/>
        <v>0</v>
      </c>
      <c r="I23" s="114"/>
      <c r="J23" s="100"/>
      <c r="K23" s="101"/>
      <c r="L23" s="94"/>
      <c r="M23" s="102"/>
      <c r="N23" s="107"/>
    </row>
    <row r="24" spans="1:19">
      <c r="B24" s="132"/>
      <c r="C24" s="13"/>
      <c r="D24" s="13"/>
      <c r="E24" s="16">
        <v>999.99</v>
      </c>
      <c r="F24" s="10">
        <v>0</v>
      </c>
      <c r="G24" s="11">
        <v>0</v>
      </c>
      <c r="H24" s="68">
        <f t="shared" si="0"/>
        <v>0</v>
      </c>
      <c r="I24" s="114"/>
      <c r="J24" s="103"/>
      <c r="K24" s="103"/>
      <c r="L24" s="95"/>
      <c r="M24" s="103"/>
      <c r="N24" s="108"/>
    </row>
    <row r="25" spans="1:19" ht="13">
      <c r="B25" s="132"/>
      <c r="C25" s="13"/>
      <c r="D25" s="13"/>
      <c r="E25" s="16">
        <v>999.99</v>
      </c>
      <c r="F25" s="10">
        <v>0</v>
      </c>
      <c r="G25" s="11">
        <v>0</v>
      </c>
      <c r="H25" s="68">
        <f t="shared" si="0"/>
        <v>0</v>
      </c>
      <c r="I25" s="114"/>
      <c r="J25" s="103"/>
      <c r="K25" s="103"/>
      <c r="L25" s="98"/>
      <c r="M25" s="103"/>
      <c r="N25" s="108"/>
    </row>
    <row r="26" spans="1:19" ht="13" thickBot="1">
      <c r="A26" s="3"/>
      <c r="B26" s="133"/>
      <c r="C26" s="60"/>
      <c r="D26" s="61"/>
      <c r="E26" s="62">
        <v>999.99</v>
      </c>
      <c r="F26" s="63">
        <v>0</v>
      </c>
      <c r="G26" s="64">
        <v>0</v>
      </c>
      <c r="H26" s="70">
        <f t="shared" si="0"/>
        <v>0</v>
      </c>
      <c r="I26" s="114"/>
      <c r="J26" s="103"/>
      <c r="K26" s="103"/>
      <c r="L26" s="101"/>
      <c r="M26" s="103"/>
      <c r="N26" s="108"/>
    </row>
    <row r="27" spans="1:19" s="5" customFormat="1" ht="13" thickTop="1">
      <c r="D27" s="35"/>
      <c r="J27" s="115"/>
      <c r="K27" s="115"/>
      <c r="L27" s="115"/>
      <c r="M27" s="115"/>
      <c r="N27" s="115"/>
    </row>
    <row r="28" spans="1:19" s="5" customFormat="1">
      <c r="D28" s="35"/>
      <c r="J28" s="80"/>
      <c r="M28" s="80"/>
      <c r="N28" s="80"/>
    </row>
    <row r="29" spans="1:19" s="5" customFormat="1">
      <c r="C29" s="80"/>
      <c r="D29" s="35"/>
    </row>
    <row r="30" spans="1:19" s="5" customFormat="1">
      <c r="C30" s="33"/>
      <c r="D30" s="35"/>
    </row>
    <row r="31" spans="1:19" s="5" customFormat="1">
      <c r="D31" s="35"/>
    </row>
    <row r="32" spans="1:19" s="5" customFormat="1">
      <c r="D32" s="35"/>
    </row>
    <row r="33" spans="4:14" s="5" customFormat="1">
      <c r="D33" s="35"/>
    </row>
    <row r="34" spans="4:14" s="5" customFormat="1">
      <c r="D34" s="35"/>
    </row>
    <row r="35" spans="4:14" s="5" customFormat="1">
      <c r="D35" s="35"/>
    </row>
    <row r="36" spans="4:14" s="5" customFormat="1">
      <c r="D36" s="35"/>
    </row>
    <row r="37" spans="4:14" s="5" customFormat="1">
      <c r="D37" s="35"/>
    </row>
    <row r="38" spans="4:14" s="5" customFormat="1">
      <c r="D38" s="35"/>
    </row>
    <row r="39" spans="4:14" s="5" customFormat="1">
      <c r="D39" s="35"/>
    </row>
    <row r="40" spans="4:14" s="5" customFormat="1">
      <c r="D40" s="35"/>
      <c r="J40" s="2"/>
      <c r="K40" s="2"/>
      <c r="M40" s="2"/>
      <c r="N40" s="2"/>
    </row>
    <row r="41" spans="4:14" s="5" customFormat="1">
      <c r="D41" s="35"/>
      <c r="J41" s="2"/>
      <c r="K41" s="2"/>
      <c r="M41" s="2"/>
      <c r="N41" s="2"/>
    </row>
    <row r="42" spans="4:14" s="5" customFormat="1">
      <c r="D42" s="35"/>
      <c r="J42" s="2"/>
      <c r="K42" s="2"/>
      <c r="M42" s="2"/>
      <c r="N42" s="2"/>
    </row>
  </sheetData>
  <mergeCells count="11">
    <mergeCell ref="B19:B26"/>
    <mergeCell ref="J17:K17"/>
    <mergeCell ref="M17:N17"/>
    <mergeCell ref="D4:E4"/>
    <mergeCell ref="J4:K4"/>
    <mergeCell ref="L4:L5"/>
    <mergeCell ref="M4:N4"/>
    <mergeCell ref="B12:B17"/>
    <mergeCell ref="J14:K14"/>
    <mergeCell ref="M14:N14"/>
    <mergeCell ref="B5:B11"/>
  </mergeCells>
  <conditionalFormatting sqref="K13">
    <cfRule type="colorScale" priority="3">
      <colorScale>
        <cfvo type="min"/>
        <cfvo type="max"/>
        <color rgb="FF63BE7B"/>
        <color rgb="FFFFEF9C"/>
      </colorScale>
    </cfRule>
    <cfRule type="cellIs" dxfId="1" priority="4" operator="lessThan">
      <formula>0.05</formula>
    </cfRule>
  </conditionalFormatting>
  <conditionalFormatting sqref="N13">
    <cfRule type="colorScale" priority="1">
      <colorScale>
        <cfvo type="min"/>
        <cfvo type="max"/>
        <color rgb="FF63BE7B"/>
        <color rgb="FFFFEF9C"/>
      </colorScale>
    </cfRule>
    <cfRule type="cellIs" dxfId="0" priority="2" operator="lessThan">
      <formula>0.05</formula>
    </cfRule>
  </conditionalFormatting>
  <dataValidations count="3">
    <dataValidation type="list" allowBlank="1" showInputMessage="1" showErrorMessage="1" sqref="S19:S20">
      <formula1>$S$19:$S$20</formula1>
    </dataValidation>
    <dataValidation type="whole" operator="greaterThanOrEqual" allowBlank="1" showInputMessage="1" showErrorMessage="1" sqref="G5:G13 G15:G26">
      <formula1>0</formula1>
    </dataValidation>
    <dataValidation type="whole" operator="greaterThan" allowBlank="1" showInputMessage="1" showErrorMessage="1" sqref="K10">
      <formula1>0</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64"/>
  <sheetViews>
    <sheetView showGridLines="0" showRowColHeaders="0" workbookViewId="0">
      <selection activeCell="M15" sqref="M15"/>
    </sheetView>
  </sheetViews>
  <sheetFormatPr defaultRowHeight="14.5"/>
  <cols>
    <col min="1" max="16384" width="8.7265625" style="151"/>
  </cols>
  <sheetData>
    <row r="1" spans="1:11" ht="15" thickBot="1">
      <c r="A1" s="100"/>
      <c r="B1" s="150"/>
      <c r="C1" s="150"/>
      <c r="D1" s="150"/>
      <c r="E1" s="150"/>
    </row>
    <row r="2" spans="1:11" ht="24" customHeight="1" thickTop="1">
      <c r="B2" s="119"/>
      <c r="C2" s="146" t="s">
        <v>23</v>
      </c>
      <c r="D2" s="146"/>
      <c r="E2" s="146"/>
      <c r="F2" s="146"/>
      <c r="G2" s="146"/>
      <c r="H2" s="146"/>
      <c r="I2" s="146"/>
      <c r="J2" s="120"/>
      <c r="K2" s="121"/>
    </row>
    <row r="3" spans="1:11">
      <c r="B3" s="122"/>
      <c r="C3" s="147"/>
      <c r="D3" s="147"/>
      <c r="E3" s="147"/>
      <c r="F3" s="147"/>
      <c r="G3" s="147"/>
      <c r="H3" s="147"/>
      <c r="I3" s="147"/>
      <c r="J3" s="123"/>
      <c r="K3" s="124"/>
    </row>
    <row r="4" spans="1:11" ht="8.5" customHeight="1">
      <c r="B4" s="122"/>
      <c r="C4" s="125"/>
      <c r="D4" s="125"/>
      <c r="E4" s="125"/>
      <c r="F4" s="125"/>
      <c r="G4" s="125"/>
      <c r="H4" s="125"/>
      <c r="I4" s="125"/>
      <c r="J4" s="123"/>
      <c r="K4" s="124"/>
    </row>
    <row r="5" spans="1:11" ht="9.5" customHeight="1">
      <c r="B5" s="122"/>
      <c r="C5" s="125"/>
      <c r="D5" s="125"/>
      <c r="E5" s="125"/>
      <c r="F5" s="125"/>
      <c r="G5" s="125"/>
      <c r="H5" s="125"/>
      <c r="I5" s="125"/>
      <c r="J5" s="123"/>
      <c r="K5" s="124"/>
    </row>
    <row r="6" spans="1:11" ht="15.5">
      <c r="B6" s="122"/>
      <c r="C6" s="126" t="s">
        <v>24</v>
      </c>
      <c r="D6" s="125"/>
      <c r="E6" s="125"/>
      <c r="F6" s="125"/>
      <c r="G6" s="125"/>
      <c r="H6" s="125"/>
      <c r="I6" s="125"/>
      <c r="J6" s="123"/>
      <c r="K6" s="124"/>
    </row>
    <row r="7" spans="1:11">
      <c r="B7" s="122"/>
      <c r="C7" s="147" t="s">
        <v>21</v>
      </c>
      <c r="D7" s="147"/>
      <c r="E7" s="147"/>
      <c r="F7" s="147"/>
      <c r="G7" s="147"/>
      <c r="H7" s="147"/>
      <c r="I7" s="147"/>
      <c r="J7" s="147"/>
      <c r="K7" s="124"/>
    </row>
    <row r="8" spans="1:11">
      <c r="B8" s="122"/>
      <c r="C8" s="147"/>
      <c r="D8" s="147"/>
      <c r="E8" s="147"/>
      <c r="F8" s="147"/>
      <c r="G8" s="147"/>
      <c r="H8" s="147"/>
      <c r="I8" s="147"/>
      <c r="J8" s="147"/>
      <c r="K8" s="124"/>
    </row>
    <row r="9" spans="1:11" ht="15.5">
      <c r="B9" s="122"/>
      <c r="C9" s="126" t="s">
        <v>25</v>
      </c>
      <c r="D9" s="125"/>
      <c r="E9" s="125"/>
      <c r="F9" s="125"/>
      <c r="G9" s="125"/>
      <c r="H9" s="125"/>
      <c r="I9" s="125"/>
      <c r="J9" s="123"/>
      <c r="K9" s="124"/>
    </row>
    <row r="10" spans="1:11">
      <c r="B10" s="122"/>
      <c r="C10" s="125"/>
      <c r="D10" s="125"/>
      <c r="E10" s="125"/>
      <c r="F10" s="125"/>
      <c r="G10" s="125"/>
      <c r="H10" s="125"/>
      <c r="I10" s="125"/>
      <c r="J10" s="123"/>
      <c r="K10" s="124"/>
    </row>
    <row r="11" spans="1:11">
      <c r="B11" s="122"/>
      <c r="C11" s="125"/>
      <c r="D11" s="125"/>
      <c r="E11" s="125"/>
      <c r="F11" s="125"/>
      <c r="G11" s="125"/>
      <c r="H11" s="125"/>
      <c r="I11" s="125"/>
      <c r="J11" s="123"/>
      <c r="K11" s="124"/>
    </row>
    <row r="12" spans="1:11">
      <c r="B12" s="122"/>
      <c r="C12" s="125"/>
      <c r="D12" s="125"/>
      <c r="E12" s="125"/>
      <c r="F12" s="125"/>
      <c r="G12" s="125"/>
      <c r="H12" s="125"/>
      <c r="I12" s="125"/>
      <c r="J12" s="123"/>
      <c r="K12" s="124"/>
    </row>
    <row r="13" spans="1:11">
      <c r="B13" s="122"/>
      <c r="C13" s="125"/>
      <c r="D13" s="125"/>
      <c r="E13" s="125"/>
      <c r="F13" s="125"/>
      <c r="G13" s="125"/>
      <c r="H13" s="125"/>
      <c r="I13" s="125"/>
      <c r="J13" s="123"/>
      <c r="K13" s="124"/>
    </row>
    <row r="14" spans="1:11">
      <c r="B14" s="122"/>
      <c r="C14" s="123"/>
      <c r="D14" s="123"/>
      <c r="E14" s="123"/>
      <c r="F14" s="123"/>
      <c r="G14" s="123"/>
      <c r="H14" s="123"/>
      <c r="I14" s="123"/>
      <c r="J14" s="123"/>
      <c r="K14" s="124"/>
    </row>
    <row r="15" spans="1:11">
      <c r="B15" s="122"/>
      <c r="C15" s="123"/>
      <c r="D15" s="123"/>
      <c r="E15" s="123"/>
      <c r="F15" s="123"/>
      <c r="G15" s="123"/>
      <c r="H15" s="123"/>
      <c r="I15" s="123"/>
      <c r="J15" s="123"/>
      <c r="K15" s="124"/>
    </row>
    <row r="16" spans="1:11">
      <c r="B16" s="122"/>
      <c r="C16" s="123"/>
      <c r="D16" s="123"/>
      <c r="E16" s="123"/>
      <c r="F16" s="123"/>
      <c r="G16" s="123"/>
      <c r="H16" s="123"/>
      <c r="I16" s="123"/>
      <c r="J16" s="123"/>
      <c r="K16" s="124"/>
    </row>
    <row r="17" spans="2:11">
      <c r="B17" s="122"/>
      <c r="C17" s="123"/>
      <c r="D17" s="123"/>
      <c r="E17" s="123"/>
      <c r="F17" s="123"/>
      <c r="G17" s="123"/>
      <c r="H17" s="123"/>
      <c r="I17" s="123"/>
      <c r="J17" s="123"/>
      <c r="K17" s="124"/>
    </row>
    <row r="18" spans="2:11">
      <c r="B18" s="122"/>
      <c r="C18" s="123"/>
      <c r="D18" s="123"/>
      <c r="E18" s="123"/>
      <c r="F18" s="123"/>
      <c r="G18" s="123"/>
      <c r="H18" s="123"/>
      <c r="I18" s="123"/>
      <c r="J18" s="123"/>
      <c r="K18" s="124"/>
    </row>
    <row r="19" spans="2:11">
      <c r="B19" s="122"/>
      <c r="C19" s="123"/>
      <c r="D19" s="123"/>
      <c r="E19" s="123"/>
      <c r="F19" s="123"/>
      <c r="G19" s="123"/>
      <c r="H19" s="123"/>
      <c r="I19" s="123"/>
      <c r="J19" s="123"/>
      <c r="K19" s="124"/>
    </row>
    <row r="20" spans="2:11">
      <c r="B20" s="122"/>
      <c r="C20" s="123"/>
      <c r="D20" s="123"/>
      <c r="E20" s="123"/>
      <c r="F20" s="123"/>
      <c r="G20" s="123"/>
      <c r="H20" s="123"/>
      <c r="I20" s="123"/>
      <c r="J20" s="123"/>
      <c r="K20" s="124"/>
    </row>
    <row r="21" spans="2:11" ht="14.5" customHeight="1">
      <c r="B21" s="122"/>
      <c r="C21" s="148" t="s">
        <v>20</v>
      </c>
      <c r="D21" s="148"/>
      <c r="E21" s="148"/>
      <c r="F21" s="148"/>
      <c r="G21" s="148"/>
      <c r="H21" s="148"/>
      <c r="I21" s="148"/>
      <c r="J21" s="148"/>
      <c r="K21" s="124"/>
    </row>
    <row r="22" spans="2:11">
      <c r="B22" s="122"/>
      <c r="C22" s="148"/>
      <c r="D22" s="148"/>
      <c r="E22" s="148"/>
      <c r="F22" s="148"/>
      <c r="G22" s="148"/>
      <c r="H22" s="148"/>
      <c r="I22" s="148"/>
      <c r="J22" s="148"/>
      <c r="K22" s="124"/>
    </row>
    <row r="23" spans="2:11">
      <c r="B23" s="122"/>
      <c r="C23" s="148"/>
      <c r="D23" s="148"/>
      <c r="E23" s="148"/>
      <c r="F23" s="148"/>
      <c r="G23" s="148"/>
      <c r="H23" s="148"/>
      <c r="I23" s="148"/>
      <c r="J23" s="148"/>
      <c r="K23" s="124"/>
    </row>
    <row r="24" spans="2:11">
      <c r="B24" s="122"/>
      <c r="C24" s="148"/>
      <c r="D24" s="148"/>
      <c r="E24" s="148"/>
      <c r="F24" s="148"/>
      <c r="G24" s="148"/>
      <c r="H24" s="148"/>
      <c r="I24" s="148"/>
      <c r="J24" s="148"/>
      <c r="K24" s="124"/>
    </row>
    <row r="25" spans="2:11">
      <c r="B25" s="122"/>
      <c r="C25" s="148"/>
      <c r="D25" s="148"/>
      <c r="E25" s="148"/>
      <c r="F25" s="148"/>
      <c r="G25" s="148"/>
      <c r="H25" s="148"/>
      <c r="I25" s="148"/>
      <c r="J25" s="148"/>
      <c r="K25" s="124"/>
    </row>
    <row r="26" spans="2:11">
      <c r="B26" s="122"/>
      <c r="C26" s="148"/>
      <c r="D26" s="148"/>
      <c r="E26" s="148"/>
      <c r="F26" s="148"/>
      <c r="G26" s="148"/>
      <c r="H26" s="148"/>
      <c r="I26" s="148"/>
      <c r="J26" s="148"/>
      <c r="K26" s="124"/>
    </row>
    <row r="27" spans="2:11">
      <c r="B27" s="122"/>
      <c r="C27" s="148"/>
      <c r="D27" s="148"/>
      <c r="E27" s="148"/>
      <c r="F27" s="148"/>
      <c r="G27" s="148"/>
      <c r="H27" s="148"/>
      <c r="I27" s="148"/>
      <c r="J27" s="148"/>
      <c r="K27" s="124"/>
    </row>
    <row r="28" spans="2:11">
      <c r="B28" s="122"/>
      <c r="C28" s="123"/>
      <c r="D28" s="123"/>
      <c r="E28" s="123"/>
      <c r="F28" s="123"/>
      <c r="G28" s="123"/>
      <c r="H28" s="123"/>
      <c r="I28" s="123"/>
      <c r="J28" s="123"/>
      <c r="K28" s="124"/>
    </row>
    <row r="29" spans="2:11">
      <c r="B29" s="122"/>
      <c r="C29" s="123"/>
      <c r="D29" s="123"/>
      <c r="E29" s="123"/>
      <c r="F29" s="123"/>
      <c r="G29" s="123"/>
      <c r="H29" s="123"/>
      <c r="I29" s="123"/>
      <c r="J29" s="123"/>
      <c r="K29" s="124"/>
    </row>
    <row r="30" spans="2:11">
      <c r="B30" s="122"/>
      <c r="C30" s="123"/>
      <c r="D30" s="123"/>
      <c r="E30" s="123"/>
      <c r="F30" s="123"/>
      <c r="G30" s="123"/>
      <c r="H30" s="123"/>
      <c r="I30" s="123"/>
      <c r="J30" s="123"/>
      <c r="K30" s="124"/>
    </row>
    <row r="31" spans="2:11">
      <c r="B31" s="122"/>
      <c r="C31" s="123"/>
      <c r="D31" s="123"/>
      <c r="E31" s="123"/>
      <c r="F31" s="123"/>
      <c r="G31" s="123"/>
      <c r="H31" s="123"/>
      <c r="I31" s="123"/>
      <c r="J31" s="123"/>
      <c r="K31" s="124"/>
    </row>
    <row r="32" spans="2:11">
      <c r="B32" s="122"/>
      <c r="C32" s="123"/>
      <c r="D32" s="123"/>
      <c r="E32" s="123"/>
      <c r="F32" s="123"/>
      <c r="G32" s="123"/>
      <c r="H32" s="123"/>
      <c r="I32" s="123"/>
      <c r="J32" s="123"/>
      <c r="K32" s="124"/>
    </row>
    <row r="33" spans="1:11">
      <c r="B33" s="122"/>
      <c r="C33" s="123"/>
      <c r="D33" s="123"/>
      <c r="E33" s="123"/>
      <c r="F33" s="123"/>
      <c r="G33" s="123"/>
      <c r="H33" s="123"/>
      <c r="I33" s="123"/>
      <c r="J33" s="123"/>
      <c r="K33" s="124"/>
    </row>
    <row r="34" spans="1:11">
      <c r="B34" s="122"/>
      <c r="C34" s="123"/>
      <c r="D34" s="123"/>
      <c r="E34" s="123"/>
      <c r="F34" s="123"/>
      <c r="G34" s="123"/>
      <c r="H34" s="123"/>
      <c r="I34" s="123"/>
      <c r="J34" s="123"/>
      <c r="K34" s="124"/>
    </row>
    <row r="35" spans="1:11">
      <c r="B35" s="122"/>
      <c r="C35" s="123"/>
      <c r="D35" s="123"/>
      <c r="E35" s="123"/>
      <c r="F35" s="123"/>
      <c r="G35" s="123"/>
      <c r="H35" s="123"/>
      <c r="I35" s="123"/>
      <c r="J35" s="123"/>
      <c r="K35" s="124"/>
    </row>
    <row r="36" spans="1:11">
      <c r="B36" s="122"/>
      <c r="C36" s="123"/>
      <c r="D36" s="123"/>
      <c r="E36" s="123"/>
      <c r="F36" s="123"/>
      <c r="G36" s="123"/>
      <c r="H36" s="123"/>
      <c r="I36" s="123"/>
      <c r="J36" s="123"/>
      <c r="K36" s="124"/>
    </row>
    <row r="37" spans="1:11">
      <c r="B37" s="122"/>
      <c r="C37" s="123"/>
      <c r="D37" s="123"/>
      <c r="E37" s="123"/>
      <c r="F37" s="123"/>
      <c r="G37" s="123"/>
      <c r="H37" s="123"/>
      <c r="I37" s="123"/>
      <c r="J37" s="123"/>
      <c r="K37" s="124"/>
    </row>
    <row r="38" spans="1:11">
      <c r="B38" s="122"/>
      <c r="C38" s="123"/>
      <c r="D38" s="123"/>
      <c r="E38" s="123"/>
      <c r="F38" s="123"/>
      <c r="G38" s="123"/>
      <c r="H38" s="123"/>
      <c r="I38" s="123"/>
      <c r="J38" s="123"/>
      <c r="K38" s="124"/>
    </row>
    <row r="39" spans="1:11">
      <c r="B39" s="122"/>
      <c r="C39" s="123"/>
      <c r="D39" s="123"/>
      <c r="E39" s="123"/>
      <c r="F39" s="123"/>
      <c r="G39" s="123"/>
      <c r="H39" s="123"/>
      <c r="I39" s="123"/>
      <c r="J39" s="123"/>
      <c r="K39" s="124"/>
    </row>
    <row r="40" spans="1:11">
      <c r="B40" s="122"/>
      <c r="C40" s="123"/>
      <c r="D40" s="123"/>
      <c r="E40" s="123"/>
      <c r="F40" s="123"/>
      <c r="G40" s="123"/>
      <c r="H40" s="123"/>
      <c r="I40" s="123"/>
      <c r="J40" s="123"/>
      <c r="K40" s="124"/>
    </row>
    <row r="41" spans="1:11">
      <c r="B41" s="122"/>
      <c r="C41" s="123"/>
      <c r="D41" s="123"/>
      <c r="E41" s="123"/>
      <c r="F41" s="123"/>
      <c r="G41" s="123"/>
      <c r="H41" s="123"/>
      <c r="I41" s="123"/>
      <c r="J41" s="123"/>
      <c r="K41" s="124"/>
    </row>
    <row r="42" spans="1:11">
      <c r="B42" s="122"/>
      <c r="C42" s="123"/>
      <c r="D42" s="123"/>
      <c r="E42" s="123"/>
      <c r="F42" s="123"/>
      <c r="G42" s="123"/>
      <c r="H42" s="123"/>
      <c r="I42" s="123"/>
      <c r="J42" s="123"/>
      <c r="K42" s="124"/>
    </row>
    <row r="43" spans="1:11" ht="15.5" customHeight="1">
      <c r="A43" s="152"/>
      <c r="B43" s="123"/>
      <c r="C43" s="147" t="s">
        <v>22</v>
      </c>
      <c r="D43" s="147"/>
      <c r="E43" s="147"/>
      <c r="F43" s="147"/>
      <c r="G43" s="147"/>
      <c r="H43" s="147"/>
      <c r="I43" s="147"/>
      <c r="J43" s="147"/>
      <c r="K43" s="124"/>
    </row>
    <row r="44" spans="1:11" ht="15.5" customHeight="1">
      <c r="A44" s="152"/>
      <c r="B44" s="123"/>
      <c r="C44" s="147"/>
      <c r="D44" s="147"/>
      <c r="E44" s="147"/>
      <c r="F44" s="147"/>
      <c r="G44" s="147"/>
      <c r="H44" s="147"/>
      <c r="I44" s="147"/>
      <c r="J44" s="147"/>
      <c r="K44" s="124"/>
    </row>
    <row r="45" spans="1:11">
      <c r="A45" s="152"/>
      <c r="B45" s="127"/>
      <c r="C45" s="149" t="s">
        <v>26</v>
      </c>
      <c r="D45" s="149"/>
      <c r="E45" s="149"/>
      <c r="F45" s="149"/>
      <c r="G45" s="149"/>
      <c r="H45" s="149"/>
      <c r="I45" s="149"/>
      <c r="J45" s="149"/>
      <c r="K45" s="124"/>
    </row>
    <row r="46" spans="1:11">
      <c r="A46" s="152"/>
      <c r="B46" s="127"/>
      <c r="C46" s="149"/>
      <c r="D46" s="149"/>
      <c r="E46" s="149"/>
      <c r="F46" s="149"/>
      <c r="G46" s="149"/>
      <c r="H46" s="149"/>
      <c r="I46" s="149"/>
      <c r="J46" s="149"/>
      <c r="K46" s="124"/>
    </row>
    <row r="47" spans="1:11">
      <c r="A47" s="152"/>
      <c r="B47" s="127"/>
      <c r="C47" s="149"/>
      <c r="D47" s="149"/>
      <c r="E47" s="149"/>
      <c r="F47" s="149"/>
      <c r="G47" s="149"/>
      <c r="H47" s="149"/>
      <c r="I47" s="149"/>
      <c r="J47" s="149"/>
      <c r="K47" s="124"/>
    </row>
    <row r="48" spans="1:11">
      <c r="A48" s="152"/>
      <c r="B48" s="127"/>
      <c r="C48" s="127"/>
      <c r="D48" s="127"/>
      <c r="E48" s="127"/>
      <c r="F48" s="127"/>
      <c r="G48" s="127"/>
      <c r="H48" s="127"/>
      <c r="I48" s="127"/>
      <c r="J48" s="127"/>
      <c r="K48" s="124"/>
    </row>
    <row r="49" spans="1:11">
      <c r="A49" s="152"/>
      <c r="B49" s="127"/>
      <c r="C49" s="127"/>
      <c r="D49" s="127"/>
      <c r="E49" s="127"/>
      <c r="F49" s="127"/>
      <c r="G49" s="127"/>
      <c r="H49" s="127"/>
      <c r="I49" s="127"/>
      <c r="J49" s="127"/>
      <c r="K49" s="124"/>
    </row>
    <row r="50" spans="1:11">
      <c r="A50" s="152"/>
      <c r="B50" s="127"/>
      <c r="C50" s="127"/>
      <c r="D50" s="127"/>
      <c r="E50" s="127"/>
      <c r="F50" s="127"/>
      <c r="G50" s="127"/>
      <c r="H50" s="127"/>
      <c r="I50" s="127"/>
      <c r="J50" s="127"/>
      <c r="K50" s="124"/>
    </row>
    <row r="51" spans="1:11">
      <c r="A51" s="152"/>
      <c r="B51" s="127"/>
      <c r="C51" s="127"/>
      <c r="D51" s="127"/>
      <c r="E51" s="127"/>
      <c r="F51" s="127"/>
      <c r="G51" s="127"/>
      <c r="H51" s="127"/>
      <c r="I51" s="127"/>
      <c r="J51" s="127"/>
      <c r="K51" s="124"/>
    </row>
    <row r="52" spans="1:11">
      <c r="A52" s="152"/>
      <c r="B52" s="127"/>
      <c r="C52" s="127"/>
      <c r="D52" s="127"/>
      <c r="E52" s="127"/>
      <c r="F52" s="127"/>
      <c r="G52" s="127"/>
      <c r="H52" s="127"/>
      <c r="I52" s="127"/>
      <c r="J52" s="127"/>
      <c r="K52" s="124"/>
    </row>
    <row r="53" spans="1:11">
      <c r="A53" s="152"/>
      <c r="B53" s="127"/>
      <c r="C53" s="127"/>
      <c r="D53" s="127"/>
      <c r="E53" s="127"/>
      <c r="F53" s="127"/>
      <c r="G53" s="127"/>
      <c r="H53" s="127"/>
      <c r="I53" s="127"/>
      <c r="J53" s="127"/>
      <c r="K53" s="124"/>
    </row>
    <row r="54" spans="1:11">
      <c r="A54" s="152"/>
      <c r="B54" s="127"/>
      <c r="C54" s="127"/>
      <c r="D54" s="127"/>
      <c r="E54" s="127"/>
      <c r="F54" s="127"/>
      <c r="G54" s="127"/>
      <c r="H54" s="127"/>
      <c r="I54" s="127"/>
      <c r="J54" s="127"/>
      <c r="K54" s="124"/>
    </row>
    <row r="55" spans="1:11">
      <c r="A55" s="152"/>
      <c r="B55" s="127"/>
      <c r="C55" s="127"/>
      <c r="D55" s="127"/>
      <c r="E55" s="127"/>
      <c r="F55" s="127"/>
      <c r="G55" s="127"/>
      <c r="H55" s="127"/>
      <c r="I55" s="127"/>
      <c r="J55" s="127"/>
      <c r="K55" s="124"/>
    </row>
    <row r="56" spans="1:11">
      <c r="A56" s="152"/>
      <c r="B56" s="127"/>
      <c r="C56" s="127"/>
      <c r="D56" s="127"/>
      <c r="E56" s="127"/>
      <c r="F56" s="127"/>
      <c r="G56" s="127"/>
      <c r="H56" s="127"/>
      <c r="I56" s="127"/>
      <c r="J56" s="127"/>
      <c r="K56" s="124"/>
    </row>
    <row r="57" spans="1:11">
      <c r="A57" s="152"/>
      <c r="B57" s="127"/>
      <c r="C57" s="127"/>
      <c r="D57" s="127"/>
      <c r="E57" s="127"/>
      <c r="F57" s="127"/>
      <c r="G57" s="127"/>
      <c r="H57" s="127"/>
      <c r="I57" s="127"/>
      <c r="J57" s="127"/>
      <c r="K57" s="124"/>
    </row>
    <row r="58" spans="1:11">
      <c r="A58" s="152"/>
      <c r="B58" s="127"/>
      <c r="C58" s="127"/>
      <c r="D58" s="127"/>
      <c r="E58" s="127"/>
      <c r="F58" s="127"/>
      <c r="G58" s="127"/>
      <c r="H58" s="127"/>
      <c r="I58" s="127"/>
      <c r="J58" s="127"/>
      <c r="K58" s="124"/>
    </row>
    <row r="59" spans="1:11">
      <c r="A59" s="152"/>
      <c r="B59" s="127"/>
      <c r="C59" s="127"/>
      <c r="D59" s="127"/>
      <c r="E59" s="127"/>
      <c r="F59" s="127"/>
      <c r="G59" s="127"/>
      <c r="H59" s="127"/>
      <c r="I59" s="127"/>
      <c r="J59" s="127"/>
      <c r="K59" s="124"/>
    </row>
    <row r="60" spans="1:11">
      <c r="A60" s="152"/>
      <c r="B60" s="127"/>
      <c r="C60" s="127"/>
      <c r="D60" s="127"/>
      <c r="E60" s="127"/>
      <c r="F60" s="127"/>
      <c r="G60" s="127"/>
      <c r="H60" s="127"/>
      <c r="I60" s="127"/>
      <c r="J60" s="127"/>
      <c r="K60" s="124"/>
    </row>
    <row r="61" spans="1:11">
      <c r="A61" s="152"/>
      <c r="B61" s="127"/>
      <c r="C61" s="127"/>
      <c r="D61" s="127"/>
      <c r="E61" s="127"/>
      <c r="F61" s="127"/>
      <c r="G61" s="127"/>
      <c r="H61" s="127"/>
      <c r="I61" s="127"/>
      <c r="J61" s="127"/>
      <c r="K61" s="124"/>
    </row>
    <row r="62" spans="1:11">
      <c r="A62" s="152"/>
      <c r="B62" s="127"/>
      <c r="C62" s="127"/>
      <c r="D62" s="127"/>
      <c r="E62" s="127"/>
      <c r="F62" s="127"/>
      <c r="G62" s="127"/>
      <c r="H62" s="127"/>
      <c r="I62" s="127"/>
      <c r="J62" s="127"/>
      <c r="K62" s="124"/>
    </row>
    <row r="63" spans="1:11" ht="15" thickBot="1">
      <c r="A63" s="152"/>
      <c r="B63" s="128"/>
      <c r="C63" s="129"/>
      <c r="D63" s="129"/>
      <c r="E63" s="129"/>
      <c r="F63" s="129"/>
      <c r="G63" s="129"/>
      <c r="H63" s="129"/>
      <c r="I63" s="129"/>
      <c r="J63" s="129"/>
      <c r="K63" s="130"/>
    </row>
    <row r="64" spans="1:11" ht="15" thickTop="1"/>
  </sheetData>
  <sheetProtection sheet="1" objects="1" scenarios="1"/>
  <mergeCells count="5">
    <mergeCell ref="C2:I3"/>
    <mergeCell ref="C21:J27"/>
    <mergeCell ref="C7:J8"/>
    <mergeCell ref="C45:J47"/>
    <mergeCell ref="C43:J4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Wireless Pool Calculator</vt:lpstr>
      <vt:lpstr>Instructions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 oquinn</dc:creator>
  <cp:lastModifiedBy>steven oquinn</cp:lastModifiedBy>
  <dcterms:created xsi:type="dcterms:W3CDTF">2018-09-01T19:43:48Z</dcterms:created>
  <dcterms:modified xsi:type="dcterms:W3CDTF">2018-09-03T08:35:49Z</dcterms:modified>
</cp:coreProperties>
</file>